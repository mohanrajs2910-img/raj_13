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A0B2608-B3E3-4659-80FA-AC5C2E85D574}" xr6:coauthVersionLast="47" xr6:coauthVersionMax="47" xr10:uidLastSave="{00000000-0000-0000-0000-000000000000}"/>
  <bookViews>
    <workbookView xWindow="-120" yWindow="-120" windowWidth="20730" windowHeight="11040" tabRatio="510" activeTab="1" xr2:uid="{00000000-000D-0000-FFFF-FFFF00000000}"/>
  </bookViews>
  <sheets>
    <sheet name="Chart1" sheetId="6" r:id="rId1"/>
    <sheet name="AUG - 2026 month generation" sheetId="1" r:id="rId2"/>
    <sheet name="PR Graph" sheetId="2" r:id="rId3"/>
    <sheet name="Daily Energy" sheetId="3" r:id="rId4"/>
    <sheet name="Daily SY" sheetId="4" r:id="rId5"/>
    <sheet name="Dev. w.r.t plots tracker" sheetId="5" r:id="rId6"/>
  </sheets>
  <definedNames>
    <definedName name="_xlnm._FilterDatabase" localSheetId="3" hidden="1">'Daily Energy'!$A$1:$AG$24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L13" i="1" s="1"/>
  <c r="H14" i="1"/>
  <c r="L14" i="1" s="1"/>
  <c r="H15" i="1"/>
  <c r="L15" i="1" s="1"/>
  <c r="H16" i="1"/>
  <c r="J16" i="1" s="1"/>
  <c r="H17" i="1"/>
  <c r="L17" i="1" s="1"/>
  <c r="H18" i="1"/>
  <c r="J18" i="1" s="1"/>
  <c r="H19" i="1"/>
  <c r="L19" i="1" s="1"/>
  <c r="H20" i="1"/>
  <c r="H21" i="1"/>
  <c r="L21" i="1" s="1"/>
  <c r="H22" i="1"/>
  <c r="L22" i="1" s="1"/>
  <c r="H23" i="1"/>
  <c r="J23" i="1" s="1"/>
  <c r="H24" i="1"/>
  <c r="L24" i="1" s="1"/>
  <c r="H25" i="1"/>
  <c r="L25" i="1" s="1"/>
  <c r="H26" i="1"/>
  <c r="L26" i="1" s="1"/>
  <c r="H27" i="1"/>
  <c r="J27" i="1" s="1"/>
  <c r="H28" i="1"/>
  <c r="L28" i="1" s="1"/>
  <c r="H29" i="1"/>
  <c r="L29" i="1" s="1"/>
  <c r="H30" i="1"/>
  <c r="J30" i="1" s="1"/>
  <c r="H31" i="1"/>
  <c r="J31" i="1" s="1"/>
  <c r="H32" i="1"/>
  <c r="H33" i="1"/>
  <c r="H34" i="1"/>
  <c r="J34" i="1" s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D6" i="1"/>
  <c r="H11" i="1"/>
  <c r="J11" i="1" s="1"/>
  <c r="D34" i="1"/>
  <c r="L32" i="1"/>
  <c r="L33" i="1"/>
  <c r="D17" i="1"/>
  <c r="D16" i="1"/>
  <c r="J20" i="1"/>
  <c r="H4" i="1"/>
  <c r="L4" i="1" s="1"/>
  <c r="H5" i="1"/>
  <c r="L5" i="1" s="1"/>
  <c r="H6" i="1"/>
  <c r="J6" i="1" s="1"/>
  <c r="H7" i="1"/>
  <c r="J7" i="1" s="1"/>
  <c r="H8" i="1"/>
  <c r="J8" i="1" s="1"/>
  <c r="H9" i="1"/>
  <c r="J9" i="1" s="1"/>
  <c r="H10" i="1"/>
  <c r="J10" i="1" s="1"/>
  <c r="J12" i="1"/>
  <c r="D4" i="1"/>
  <c r="D5" i="1"/>
  <c r="D7" i="1"/>
  <c r="D8" i="1"/>
  <c r="D9" i="1"/>
  <c r="D10" i="1"/>
  <c r="D11" i="1"/>
  <c r="D12" i="1"/>
  <c r="D13" i="1"/>
  <c r="D14" i="1"/>
  <c r="D15" i="1"/>
  <c r="D18" i="1"/>
  <c r="D19" i="1"/>
  <c r="D20" i="1"/>
  <c r="D21" i="1"/>
  <c r="D22" i="1"/>
  <c r="D23" i="1"/>
  <c r="D24" i="1"/>
  <c r="D25" i="1"/>
  <c r="D26" i="1"/>
  <c r="B57" i="2" s="1"/>
  <c r="D27" i="1"/>
  <c r="D28" i="1"/>
  <c r="D29" i="1"/>
  <c r="D30" i="1"/>
  <c r="D31" i="1"/>
  <c r="D32" i="1"/>
  <c r="D33" i="1"/>
  <c r="N4" i="1"/>
  <c r="N5" i="1"/>
  <c r="N6" i="1"/>
  <c r="N7" i="1"/>
  <c r="N8" i="1"/>
  <c r="N9" i="1"/>
  <c r="N10" i="1"/>
  <c r="N11" i="1"/>
  <c r="N12" i="1"/>
  <c r="N13" i="1"/>
  <c r="N14" i="1"/>
  <c r="N15" i="1"/>
  <c r="B35" i="1"/>
  <c r="D35" i="1" s="1"/>
  <c r="G35" i="1"/>
  <c r="H35" i="1" s="1"/>
  <c r="N35" i="1"/>
  <c r="AG3" i="4"/>
  <c r="AG4" i="4"/>
  <c r="AG5" i="4"/>
  <c r="AG6" i="4"/>
  <c r="AG7" i="4"/>
  <c r="AG8" i="4"/>
  <c r="AG9" i="4"/>
  <c r="AG10" i="4"/>
  <c r="AG11" i="4"/>
  <c r="AG12" i="4"/>
  <c r="AG13" i="4"/>
  <c r="AG15" i="4"/>
  <c r="AG16" i="4"/>
  <c r="AG17" i="4"/>
  <c r="AG18" i="4"/>
  <c r="AG19" i="4"/>
  <c r="AG20" i="4"/>
  <c r="AG21" i="4"/>
  <c r="AG22" i="4"/>
  <c r="AG23" i="4"/>
  <c r="AG24" i="4"/>
  <c r="L27" i="1" l="1"/>
  <c r="L16" i="1"/>
  <c r="J26" i="1"/>
  <c r="L34" i="1"/>
  <c r="L23" i="1"/>
  <c r="I15" i="1"/>
  <c r="J17" i="1"/>
  <c r="L18" i="1"/>
  <c r="J15" i="1"/>
  <c r="L7" i="1"/>
  <c r="L6" i="1"/>
  <c r="J33" i="1"/>
  <c r="J32" i="1"/>
  <c r="L31" i="1"/>
  <c r="L30" i="1"/>
  <c r="J28" i="1"/>
  <c r="J22" i="1"/>
  <c r="J19" i="1"/>
  <c r="J14" i="1"/>
  <c r="J13" i="1"/>
  <c r="L20" i="1"/>
  <c r="L11" i="1"/>
  <c r="L10" i="1"/>
  <c r="L9" i="1"/>
  <c r="J5" i="1"/>
  <c r="J4" i="1"/>
  <c r="J24" i="1"/>
  <c r="J35" i="1"/>
  <c r="L35" i="1"/>
  <c r="J29" i="1"/>
  <c r="E60" i="2" s="1"/>
  <c r="J25" i="1"/>
  <c r="J21" i="1"/>
  <c r="L12" i="1"/>
  <c r="L8" i="1"/>
  <c r="E40" i="2"/>
  <c r="B38" i="2"/>
  <c r="B40" i="2"/>
  <c r="B43" i="2"/>
  <c r="B47" i="2"/>
  <c r="B48" i="2"/>
  <c r="B50" i="2"/>
  <c r="B51" i="2"/>
  <c r="B54" i="2"/>
  <c r="B55" i="2"/>
  <c r="B58" i="2"/>
  <c r="B59" i="2"/>
  <c r="B60" i="2"/>
  <c r="B62" i="2"/>
  <c r="B63" i="2"/>
  <c r="B37" i="2"/>
  <c r="B44" i="2"/>
  <c r="B49" i="2"/>
  <c r="B52" i="2"/>
  <c r="B53" i="2"/>
  <c r="B56" i="2"/>
  <c r="B61" i="2"/>
  <c r="B36" i="2"/>
  <c r="B39" i="2"/>
  <c r="B41" i="2"/>
  <c r="B42" i="2"/>
  <c r="B45" i="2"/>
  <c r="B46" i="2"/>
  <c r="B35" i="2"/>
  <c r="AF2" i="4"/>
  <c r="AG2" i="4"/>
  <c r="AE2" i="5"/>
  <c r="AF2" i="5"/>
  <c r="A64" i="2"/>
  <c r="A65" i="2"/>
  <c r="C64" i="2"/>
  <c r="F64" i="2" s="1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C66" i="2"/>
  <c r="F66" i="2" s="1"/>
  <c r="C65" i="2"/>
  <c r="F65" i="2" s="1"/>
  <c r="C63" i="2"/>
  <c r="F63" i="2" s="1"/>
  <c r="A63" i="2"/>
  <c r="C62" i="2"/>
  <c r="F62" i="2" s="1"/>
  <c r="A62" i="2"/>
  <c r="C61" i="2"/>
  <c r="F61" i="2" s="1"/>
  <c r="A61" i="2"/>
  <c r="C60" i="2"/>
  <c r="F60" i="2" s="1"/>
  <c r="A60" i="2"/>
  <c r="C59" i="2"/>
  <c r="F59" i="2" s="1"/>
  <c r="A59" i="2"/>
  <c r="C58" i="2"/>
  <c r="F58" i="2" s="1"/>
  <c r="A58" i="2"/>
  <c r="C57" i="2"/>
  <c r="F57" i="2" s="1"/>
  <c r="A57" i="2"/>
  <c r="C56" i="2"/>
  <c r="F56" i="2" s="1"/>
  <c r="A56" i="2"/>
  <c r="C55" i="2"/>
  <c r="F55" i="2" s="1"/>
  <c r="A55" i="2"/>
  <c r="C54" i="2"/>
  <c r="F54" i="2" s="1"/>
  <c r="A54" i="2"/>
  <c r="C53" i="2"/>
  <c r="F53" i="2" s="1"/>
  <c r="A53" i="2"/>
  <c r="C52" i="2"/>
  <c r="F52" i="2" s="1"/>
  <c r="A52" i="2"/>
  <c r="C51" i="2"/>
  <c r="F51" i="2" s="1"/>
  <c r="A51" i="2"/>
  <c r="C50" i="2"/>
  <c r="F50" i="2" s="1"/>
  <c r="A50" i="2"/>
  <c r="C49" i="2"/>
  <c r="F49" i="2" s="1"/>
  <c r="A49" i="2"/>
  <c r="C48" i="2"/>
  <c r="F48" i="2" s="1"/>
  <c r="A48" i="2"/>
  <c r="C47" i="2"/>
  <c r="F47" i="2" s="1"/>
  <c r="A47" i="2"/>
  <c r="C46" i="2"/>
  <c r="F46" i="2" s="1"/>
  <c r="A46" i="2"/>
  <c r="C45" i="2"/>
  <c r="F45" i="2" s="1"/>
  <c r="A45" i="2"/>
  <c r="C44" i="2"/>
  <c r="F44" i="2" s="1"/>
  <c r="A44" i="2"/>
  <c r="C43" i="2"/>
  <c r="F43" i="2" s="1"/>
  <c r="A43" i="2"/>
  <c r="C42" i="2"/>
  <c r="F42" i="2" s="1"/>
  <c r="A42" i="2"/>
  <c r="C41" i="2"/>
  <c r="F41" i="2" s="1"/>
  <c r="A41" i="2"/>
  <c r="C40" i="2"/>
  <c r="F40" i="2" s="1"/>
  <c r="A40" i="2"/>
  <c r="C39" i="2"/>
  <c r="F39" i="2" s="1"/>
  <c r="A39" i="2"/>
  <c r="C38" i="2"/>
  <c r="F38" i="2" s="1"/>
  <c r="A38" i="2"/>
  <c r="A37" i="2"/>
  <c r="C36" i="2"/>
  <c r="F36" i="2" s="1"/>
  <c r="A36" i="2"/>
  <c r="C35" i="2"/>
  <c r="F35" i="2" s="1"/>
  <c r="A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64" i="2"/>
  <c r="B65" i="2"/>
  <c r="B64" i="2"/>
  <c r="B66" i="2"/>
  <c r="E65" i="2"/>
  <c r="E66" i="2"/>
  <c r="I35" i="1" l="1"/>
  <c r="AC4" i="5"/>
  <c r="E53" i="2"/>
  <c r="E51" i="2"/>
  <c r="E46" i="2"/>
  <c r="E45" i="2"/>
  <c r="E44" i="2"/>
  <c r="E41" i="2"/>
  <c r="K3" i="5"/>
  <c r="AE6" i="5"/>
  <c r="AE21" i="5"/>
  <c r="AE9" i="5"/>
  <c r="AB19" i="5"/>
  <c r="AB14" i="5"/>
  <c r="AB10" i="5"/>
  <c r="AB13" i="5"/>
  <c r="AB16" i="5"/>
  <c r="E57" i="2"/>
  <c r="V19" i="5"/>
  <c r="E54" i="2"/>
  <c r="R12" i="5"/>
  <c r="O19" i="5"/>
  <c r="K23" i="5"/>
  <c r="E43" i="2"/>
  <c r="E42" i="2"/>
  <c r="H14" i="5"/>
  <c r="E38" i="2"/>
  <c r="E36" i="2"/>
  <c r="K24" i="5"/>
  <c r="AA3" i="5"/>
  <c r="R23" i="5"/>
  <c r="V4" i="5"/>
  <c r="O17" i="5"/>
  <c r="V23" i="5"/>
  <c r="M9" i="5"/>
  <c r="E39" i="2"/>
  <c r="E47" i="2"/>
  <c r="E50" i="2"/>
  <c r="AA5" i="5"/>
  <c r="AA9" i="5"/>
  <c r="AA13" i="5"/>
  <c r="AA20" i="5"/>
  <c r="E59" i="2"/>
  <c r="Y22" i="5"/>
  <c r="Y23" i="5"/>
  <c r="X18" i="5"/>
  <c r="X6" i="5"/>
  <c r="E56" i="2"/>
  <c r="W6" i="5"/>
  <c r="W9" i="5"/>
  <c r="W13" i="5"/>
  <c r="T22" i="5"/>
  <c r="T6" i="5"/>
  <c r="T10" i="5"/>
  <c r="T14" i="5"/>
  <c r="E52" i="2"/>
  <c r="S4" i="5"/>
  <c r="S17" i="5"/>
  <c r="S15" i="5"/>
  <c r="S13" i="5"/>
  <c r="R3" i="5"/>
  <c r="R16" i="5"/>
  <c r="R8" i="5"/>
  <c r="Q8" i="5"/>
  <c r="Q11" i="5"/>
  <c r="Q7" i="5"/>
  <c r="Q12" i="5"/>
  <c r="P10" i="5"/>
  <c r="P22" i="5"/>
  <c r="N24" i="5"/>
  <c r="N21" i="5"/>
  <c r="N18" i="5"/>
  <c r="N22" i="5"/>
  <c r="N8" i="5"/>
  <c r="M5" i="5"/>
  <c r="M21" i="5"/>
  <c r="M15" i="5"/>
  <c r="M11" i="5"/>
  <c r="M17" i="5"/>
  <c r="M18" i="5"/>
  <c r="M13" i="5"/>
  <c r="L3" i="5"/>
  <c r="L8" i="5"/>
  <c r="L12" i="5"/>
  <c r="L16" i="5"/>
  <c r="L20" i="5"/>
  <c r="L24" i="5"/>
  <c r="L14" i="5"/>
  <c r="L6" i="5"/>
  <c r="L4" i="5"/>
  <c r="L9" i="5"/>
  <c r="L11" i="5"/>
  <c r="L23" i="5"/>
  <c r="L5" i="5"/>
  <c r="L10" i="5"/>
  <c r="K11" i="5"/>
  <c r="K15" i="5"/>
  <c r="K19" i="5"/>
  <c r="K13" i="5"/>
  <c r="K7" i="5"/>
  <c r="K4" i="5"/>
  <c r="J17" i="5"/>
  <c r="J14" i="5"/>
  <c r="J10" i="5"/>
  <c r="J3" i="5"/>
  <c r="J15" i="5"/>
  <c r="J20" i="5"/>
  <c r="J22" i="5"/>
  <c r="J18" i="5"/>
  <c r="I19" i="5"/>
  <c r="I4" i="5"/>
  <c r="I5" i="5"/>
  <c r="I22" i="5"/>
  <c r="I3" i="5"/>
  <c r="I7" i="5"/>
  <c r="I9" i="5"/>
  <c r="I13" i="5"/>
  <c r="I17" i="5"/>
  <c r="I21" i="5"/>
  <c r="H16" i="5"/>
  <c r="H12" i="5"/>
  <c r="H18" i="5"/>
  <c r="H17" i="5"/>
  <c r="H24" i="5"/>
  <c r="H8" i="5"/>
  <c r="H20" i="5"/>
  <c r="H3" i="5"/>
  <c r="G22" i="5"/>
  <c r="G16" i="5"/>
  <c r="G17" i="5"/>
  <c r="G11" i="5"/>
  <c r="G15" i="5"/>
  <c r="G23" i="5"/>
  <c r="G19" i="5"/>
  <c r="G14" i="5"/>
  <c r="G7" i="5"/>
  <c r="G8" i="5"/>
  <c r="F8" i="5"/>
  <c r="F10" i="5"/>
  <c r="F14" i="5"/>
  <c r="F18" i="5"/>
  <c r="F9" i="5"/>
  <c r="F15" i="5"/>
  <c r="F17" i="5"/>
  <c r="F12" i="5"/>
  <c r="F22" i="5"/>
  <c r="E3" i="5"/>
  <c r="E16" i="5"/>
  <c r="E8" i="5"/>
  <c r="E9" i="5"/>
  <c r="E13" i="5"/>
  <c r="E17" i="5"/>
  <c r="E22" i="5"/>
  <c r="E23" i="5"/>
  <c r="E10" i="5"/>
  <c r="E21" i="5"/>
  <c r="D22" i="5"/>
  <c r="D3" i="5"/>
  <c r="D13" i="5"/>
  <c r="D7" i="5"/>
  <c r="D8" i="5"/>
  <c r="D12" i="5"/>
  <c r="D16" i="5"/>
  <c r="D24" i="5"/>
  <c r="D20" i="5"/>
  <c r="C10" i="5"/>
  <c r="C18" i="5"/>
  <c r="C15" i="5"/>
  <c r="C19" i="5"/>
  <c r="C23" i="5"/>
  <c r="C9" i="5"/>
  <c r="C7" i="5"/>
  <c r="C3" i="5"/>
  <c r="C12" i="5"/>
  <c r="C13" i="5"/>
  <c r="C11" i="5"/>
  <c r="E35" i="2"/>
  <c r="E63" i="2"/>
  <c r="B7" i="5"/>
  <c r="B9" i="5"/>
  <c r="B21" i="5"/>
  <c r="B24" i="5"/>
  <c r="B10" i="5"/>
  <c r="B14" i="5"/>
  <c r="B18" i="5"/>
  <c r="B22" i="5"/>
  <c r="B13" i="5"/>
  <c r="K21" i="5"/>
  <c r="F20" i="5"/>
  <c r="E19" i="5"/>
  <c r="D18" i="5"/>
  <c r="C17" i="5"/>
  <c r="J16" i="5"/>
  <c r="J23" i="5"/>
  <c r="D21" i="5"/>
  <c r="J19" i="5"/>
  <c r="I18" i="5"/>
  <c r="B15" i="5"/>
  <c r="L13" i="5"/>
  <c r="J11" i="5"/>
  <c r="H9" i="5"/>
  <c r="C8" i="5"/>
  <c r="M6" i="5"/>
  <c r="H5" i="5"/>
  <c r="G4" i="5"/>
  <c r="F3" i="5"/>
  <c r="I15" i="5"/>
  <c r="D14" i="5"/>
  <c r="E11" i="5"/>
  <c r="B8" i="5"/>
  <c r="K5" i="5"/>
  <c r="L19" i="5"/>
  <c r="M24" i="5"/>
  <c r="H23" i="5"/>
  <c r="C22" i="5"/>
  <c r="I20" i="5"/>
  <c r="J6" i="5"/>
  <c r="E5" i="5"/>
  <c r="G3" i="5"/>
  <c r="I12" i="5"/>
  <c r="M8" i="5"/>
  <c r="B5" i="5"/>
  <c r="D17" i="5"/>
  <c r="M14" i="5"/>
  <c r="D10" i="5"/>
  <c r="H6" i="5"/>
  <c r="H21" i="5"/>
  <c r="B17" i="5"/>
  <c r="L15" i="5"/>
  <c r="C14" i="5"/>
  <c r="D11" i="5"/>
  <c r="I8" i="5"/>
  <c r="F5" i="5"/>
  <c r="E7" i="5"/>
  <c r="L21" i="5"/>
  <c r="K6" i="5"/>
  <c r="E12" i="5"/>
  <c r="G6" i="5"/>
  <c r="K20" i="5"/>
  <c r="J24" i="5"/>
  <c r="M23" i="5"/>
  <c r="L22" i="5"/>
  <c r="G21" i="5"/>
  <c r="B20" i="5"/>
  <c r="L18" i="5"/>
  <c r="G24" i="5"/>
  <c r="F16" i="5"/>
  <c r="G20" i="5"/>
  <c r="F19" i="5"/>
  <c r="L17" i="5"/>
  <c r="I14" i="5"/>
  <c r="H13" i="5"/>
  <c r="F11" i="5"/>
  <c r="D9" i="5"/>
  <c r="J7" i="5"/>
  <c r="I6" i="5"/>
  <c r="D5" i="5"/>
  <c r="C4" i="5"/>
  <c r="B3" i="5"/>
  <c r="E15" i="5"/>
  <c r="J12" i="5"/>
  <c r="H10" i="5"/>
  <c r="J4" i="5"/>
  <c r="M20" i="5"/>
  <c r="D19" i="5"/>
  <c r="I24" i="5"/>
  <c r="D23" i="5"/>
  <c r="J21" i="5"/>
  <c r="H19" i="5"/>
  <c r="F6" i="5"/>
  <c r="H4" i="5"/>
  <c r="C5" i="5"/>
  <c r="K14" i="5"/>
  <c r="G10" i="5"/>
  <c r="H7" i="5"/>
  <c r="K16" i="5"/>
  <c r="K12" i="5"/>
  <c r="G9" i="5"/>
  <c r="G5" i="5"/>
  <c r="I10" i="5"/>
  <c r="M16" i="5"/>
  <c r="H15" i="5"/>
  <c r="F13" i="5"/>
  <c r="K10" i="5"/>
  <c r="L7" i="5"/>
  <c r="D6" i="5"/>
  <c r="I11" i="5"/>
  <c r="E4" i="5"/>
  <c r="B4" i="5"/>
  <c r="C6" i="5"/>
  <c r="H11" i="5"/>
  <c r="J5" i="5"/>
  <c r="F24" i="5"/>
  <c r="I23" i="5"/>
  <c r="H22" i="5"/>
  <c r="C21" i="5"/>
  <c r="M19" i="5"/>
  <c r="K17" i="5"/>
  <c r="F23" i="5"/>
  <c r="M22" i="5"/>
  <c r="C20" i="5"/>
  <c r="B19" i="5"/>
  <c r="C16" i="5"/>
  <c r="E14" i="5"/>
  <c r="G12" i="5"/>
  <c r="M10" i="5"/>
  <c r="K8" i="5"/>
  <c r="F7" i="5"/>
  <c r="E6" i="5"/>
  <c r="B16" i="5"/>
  <c r="G13" i="5"/>
  <c r="B12" i="5"/>
  <c r="K9" i="5"/>
  <c r="M7" i="5"/>
  <c r="M3" i="5"/>
  <c r="E20" i="5"/>
  <c r="K18" i="5"/>
  <c r="E24" i="5"/>
  <c r="K22" i="5"/>
  <c r="F21" i="5"/>
  <c r="G18" i="5"/>
  <c r="B6" i="5"/>
  <c r="D4" i="5"/>
  <c r="C24" i="5"/>
  <c r="J13" i="5"/>
  <c r="J9" i="5"/>
  <c r="B23" i="5"/>
  <c r="E18" i="5"/>
  <c r="B11" i="5"/>
  <c r="J8" i="5"/>
  <c r="F4" i="5"/>
  <c r="I16" i="5"/>
  <c r="D15" i="5"/>
  <c r="M12" i="5"/>
  <c r="M4" i="5"/>
  <c r="W7" i="5"/>
  <c r="W11" i="5"/>
  <c r="W5" i="5"/>
  <c r="S21" i="5"/>
  <c r="AB18" i="5"/>
  <c r="AB17" i="5"/>
  <c r="O16" i="5"/>
  <c r="AA8" i="5"/>
  <c r="N7" i="5"/>
  <c r="Q6" i="5"/>
  <c r="P6" i="5"/>
  <c r="Q24" i="5"/>
  <c r="Q5" i="5"/>
  <c r="AA10" i="5"/>
  <c r="V13" i="5"/>
  <c r="AA6" i="5"/>
  <c r="R24" i="5"/>
  <c r="O21" i="5"/>
  <c r="R20" i="5"/>
  <c r="T17" i="5"/>
  <c r="AE12" i="5"/>
  <c r="T9" i="5"/>
  <c r="AB5" i="5"/>
  <c r="W4" i="5"/>
  <c r="S18" i="5"/>
  <c r="T23" i="5"/>
  <c r="AA22" i="5"/>
  <c r="Q20" i="5"/>
  <c r="Q21" i="5"/>
  <c r="S19" i="5"/>
  <c r="R14" i="5"/>
  <c r="AA7" i="5"/>
  <c r="X7" i="5"/>
  <c r="Q18" i="5"/>
  <c r="W14" i="5"/>
  <c r="T11" i="5"/>
  <c r="T16" i="5"/>
  <c r="T3" i="5"/>
  <c r="T4" i="5"/>
  <c r="AB6" i="5"/>
  <c r="AB20" i="5"/>
  <c r="AC7" i="5"/>
  <c r="O7" i="5"/>
  <c r="X10" i="5"/>
  <c r="Y9" i="5"/>
  <c r="Y11" i="5"/>
  <c r="Q15" i="5"/>
  <c r="W17" i="5"/>
  <c r="AA17" i="5"/>
  <c r="T18" i="5"/>
  <c r="Q19" i="5"/>
  <c r="Y19" i="5"/>
  <c r="N20" i="5"/>
  <c r="Q3" i="5"/>
  <c r="Q17" i="5"/>
  <c r="Q4" i="5"/>
  <c r="Q9" i="5"/>
  <c r="Q13" i="5"/>
  <c r="Q16" i="5"/>
  <c r="Q23" i="5"/>
  <c r="Y12" i="5"/>
  <c r="Y5" i="5"/>
  <c r="Y21" i="5"/>
  <c r="Y8" i="5"/>
  <c r="Y3" i="5"/>
  <c r="Y16" i="5"/>
  <c r="AC24" i="5"/>
  <c r="AC18" i="5"/>
  <c r="N17" i="5"/>
  <c r="N13" i="5"/>
  <c r="N10" i="5"/>
  <c r="N14" i="5"/>
  <c r="R4" i="5"/>
  <c r="R13" i="5"/>
  <c r="Z5" i="5"/>
  <c r="Z18" i="5"/>
  <c r="S6" i="5"/>
  <c r="S14" i="5"/>
  <c r="S10" i="5"/>
  <c r="S3" i="5"/>
  <c r="Y7" i="5"/>
  <c r="V8" i="5"/>
  <c r="N12" i="5"/>
  <c r="AA24" i="5"/>
  <c r="N16" i="5"/>
  <c r="W24" i="5"/>
  <c r="W20" i="5"/>
  <c r="S16" i="5"/>
  <c r="N4" i="5"/>
  <c r="X24" i="5"/>
  <c r="AA11" i="5"/>
  <c r="R10" i="5"/>
  <c r="AB4" i="5"/>
  <c r="N11" i="5"/>
  <c r="AB11" i="5"/>
  <c r="AB3" i="5"/>
  <c r="N6" i="5"/>
  <c r="R5" i="5"/>
  <c r="V9" i="5"/>
  <c r="O11" i="5"/>
  <c r="S7" i="5"/>
  <c r="W19" i="5"/>
  <c r="AA14" i="5"/>
  <c r="AE10" i="5"/>
  <c r="P15" i="5"/>
  <c r="T8" i="5"/>
  <c r="X15" i="5"/>
  <c r="AB22" i="5"/>
  <c r="R7" i="5"/>
  <c r="O8" i="5"/>
  <c r="S8" i="5"/>
  <c r="W8" i="5"/>
  <c r="P9" i="5"/>
  <c r="AB9" i="5"/>
  <c r="Q10" i="5"/>
  <c r="R11" i="5"/>
  <c r="V11" i="5"/>
  <c r="O12" i="5"/>
  <c r="W12" i="5"/>
  <c r="AA12" i="5"/>
  <c r="T13" i="5"/>
  <c r="Q14" i="5"/>
  <c r="N15" i="5"/>
  <c r="R15" i="5"/>
  <c r="AA16" i="5"/>
  <c r="N19" i="5"/>
  <c r="S20" i="5"/>
  <c r="T21" i="5"/>
  <c r="X21" i="5"/>
  <c r="AB21" i="5"/>
  <c r="Q22" i="5"/>
  <c r="N23" i="5"/>
  <c r="O24" i="5"/>
  <c r="Z3" i="5"/>
  <c r="U12" i="5"/>
  <c r="AA21" i="5"/>
  <c r="T5" i="5"/>
  <c r="N3" i="5"/>
  <c r="W22" i="5"/>
  <c r="T24" i="5"/>
  <c r="AA23" i="5"/>
  <c r="T20" i="5"/>
  <c r="AA19" i="5"/>
  <c r="V18" i="5"/>
  <c r="P16" i="5"/>
  <c r="AE15" i="5"/>
  <c r="AB12" i="5"/>
  <c r="S11" i="5"/>
  <c r="AB8" i="5"/>
  <c r="V6" i="5"/>
  <c r="X11" i="5"/>
  <c r="N9" i="5"/>
  <c r="O6" i="5"/>
  <c r="W15" i="5"/>
  <c r="AE3" i="5"/>
  <c r="R19" i="5"/>
  <c r="V22" i="5"/>
  <c r="AB24" i="5"/>
  <c r="S24" i="5"/>
  <c r="W10" i="5"/>
  <c r="AC16" i="5"/>
  <c r="W21" i="5"/>
  <c r="P5" i="5"/>
  <c r="AA4" i="5"/>
  <c r="AA18" i="5"/>
  <c r="S22" i="5"/>
  <c r="R21" i="5"/>
  <c r="W18" i="5"/>
  <c r="S23" i="5"/>
  <c r="R22" i="5"/>
  <c r="R18" i="5"/>
  <c r="AA15" i="5"/>
  <c r="T12" i="5"/>
  <c r="AE11" i="5"/>
  <c r="V10" i="5"/>
  <c r="AE7" i="5"/>
  <c r="R6" i="5"/>
  <c r="N5" i="5"/>
  <c r="P12" i="5"/>
  <c r="T7" i="5"/>
  <c r="AB23" i="5"/>
  <c r="Z21" i="5"/>
  <c r="AB15" i="5"/>
  <c r="T19" i="5"/>
  <c r="V21" i="5"/>
  <c r="Y24" i="5"/>
  <c r="V20" i="5"/>
  <c r="AE23" i="5"/>
  <c r="AE24" i="5"/>
  <c r="AE16" i="5"/>
  <c r="AE8" i="5"/>
  <c r="AE14" i="5"/>
  <c r="AE13" i="5"/>
  <c r="AE17" i="5"/>
  <c r="AE20" i="5"/>
  <c r="AE4" i="5"/>
  <c r="AE5" i="5"/>
  <c r="AE22" i="5"/>
  <c r="AE18" i="5"/>
  <c r="AE19" i="5"/>
  <c r="AD21" i="5"/>
  <c r="AD13" i="5"/>
  <c r="AD6" i="5"/>
  <c r="AD20" i="5"/>
  <c r="AD7" i="5"/>
  <c r="AD3" i="5"/>
  <c r="AD12" i="5"/>
  <c r="AD24" i="5"/>
  <c r="AD16" i="5"/>
  <c r="AD23" i="5"/>
  <c r="AD22" i="5"/>
  <c r="AD18" i="5"/>
  <c r="AD14" i="5"/>
  <c r="AD10" i="5"/>
  <c r="AD5" i="5"/>
  <c r="AD9" i="5"/>
  <c r="AD19" i="5"/>
  <c r="AD11" i="5"/>
  <c r="AD8" i="5"/>
  <c r="AD17" i="5"/>
  <c r="AD15" i="5"/>
  <c r="AD4" i="5"/>
  <c r="E62" i="2"/>
  <c r="AC19" i="5"/>
  <c r="AC22" i="5"/>
  <c r="AC15" i="5"/>
  <c r="AC3" i="5"/>
  <c r="AC13" i="5"/>
  <c r="AC12" i="5"/>
  <c r="AC8" i="5"/>
  <c r="AC23" i="5"/>
  <c r="AC14" i="5"/>
  <c r="AC20" i="5"/>
  <c r="AC21" i="5"/>
  <c r="AC17" i="5"/>
  <c r="AC10" i="5"/>
  <c r="AC6" i="5"/>
  <c r="AC9" i="5"/>
  <c r="AC5" i="5"/>
  <c r="AC11" i="5"/>
  <c r="E61" i="2"/>
  <c r="AB7" i="5"/>
  <c r="Z15" i="5"/>
  <c r="Z24" i="5"/>
  <c r="Z20" i="5"/>
  <c r="Z16" i="5"/>
  <c r="Z23" i="5"/>
  <c r="Z8" i="5"/>
  <c r="Z17" i="5"/>
  <c r="Z12" i="5"/>
  <c r="Z10" i="5"/>
  <c r="Z19" i="5"/>
  <c r="Z14" i="5"/>
  <c r="Z6" i="5"/>
  <c r="Z11" i="5"/>
  <c r="Z7" i="5"/>
  <c r="Z4" i="5"/>
  <c r="Z22" i="5"/>
  <c r="Z13" i="5"/>
  <c r="Z9" i="5"/>
  <c r="E58" i="2"/>
  <c r="Y15" i="5"/>
  <c r="Y18" i="5"/>
  <c r="Y20" i="5"/>
  <c r="Y6" i="5"/>
  <c r="Y17" i="5"/>
  <c r="Y13" i="5"/>
  <c r="Y4" i="5"/>
  <c r="Y10" i="5"/>
  <c r="Y14" i="5"/>
  <c r="X16" i="5"/>
  <c r="X20" i="5"/>
  <c r="X12" i="5"/>
  <c r="X19" i="5"/>
  <c r="X8" i="5"/>
  <c r="X9" i="5"/>
  <c r="X13" i="5"/>
  <c r="X5" i="5"/>
  <c r="X4" i="5"/>
  <c r="X17" i="5"/>
  <c r="X22" i="5"/>
  <c r="X14" i="5"/>
  <c r="X23" i="5"/>
  <c r="X3" i="5"/>
  <c r="W16" i="5"/>
  <c r="W23" i="5"/>
  <c r="W3" i="5"/>
  <c r="V17" i="5"/>
  <c r="V24" i="5"/>
  <c r="V15" i="5"/>
  <c r="V7" i="5"/>
  <c r="V16" i="5"/>
  <c r="V3" i="5"/>
  <c r="V12" i="5"/>
  <c r="V14" i="5"/>
  <c r="V5" i="5"/>
  <c r="E55" i="2"/>
  <c r="U19" i="5"/>
  <c r="U14" i="5"/>
  <c r="U9" i="5"/>
  <c r="U5" i="5"/>
  <c r="U3" i="5"/>
  <c r="U23" i="5"/>
  <c r="U6" i="5"/>
  <c r="U4" i="5"/>
  <c r="U20" i="5"/>
  <c r="U24" i="5"/>
  <c r="U22" i="5"/>
  <c r="U10" i="5"/>
  <c r="U15" i="5"/>
  <c r="U11" i="5"/>
  <c r="U17" i="5"/>
  <c r="U7" i="5"/>
  <c r="U18" i="5"/>
  <c r="U21" i="5"/>
  <c r="U16" i="5"/>
  <c r="U13" i="5"/>
  <c r="U8" i="5"/>
  <c r="T15" i="5"/>
  <c r="S12" i="5"/>
  <c r="S9" i="5"/>
  <c r="S5" i="5"/>
  <c r="R17" i="5"/>
  <c r="R9" i="5"/>
  <c r="E49" i="2"/>
  <c r="P21" i="5"/>
  <c r="P19" i="5"/>
  <c r="P24" i="5"/>
  <c r="P20" i="5"/>
  <c r="P8" i="5"/>
  <c r="P17" i="5"/>
  <c r="P23" i="5"/>
  <c r="P4" i="5"/>
  <c r="P11" i="5"/>
  <c r="P3" i="5"/>
  <c r="P7" i="5"/>
  <c r="P18" i="5"/>
  <c r="P14" i="5"/>
  <c r="P13" i="5"/>
  <c r="E48" i="2"/>
  <c r="O20" i="5"/>
  <c r="O4" i="5"/>
  <c r="O9" i="5"/>
  <c r="O10" i="5"/>
  <c r="O13" i="5"/>
  <c r="O5" i="5"/>
  <c r="O22" i="5"/>
  <c r="O18" i="5"/>
  <c r="O23" i="5"/>
  <c r="O15" i="5"/>
  <c r="O3" i="5"/>
  <c r="O14" i="5"/>
  <c r="C37" i="2"/>
  <c r="F37" i="2" s="1"/>
  <c r="E37" i="2" l="1"/>
  <c r="AG14" i="4"/>
  <c r="AF20" i="5" s="1"/>
  <c r="AF24" i="5" l="1"/>
  <c r="AF6" i="5"/>
  <c r="AF16" i="5"/>
  <c r="AF9" i="5"/>
  <c r="AF18" i="5"/>
  <c r="AF3" i="5"/>
  <c r="AF14" i="5"/>
  <c r="AF13" i="5"/>
  <c r="AF19" i="5"/>
  <c r="AF11" i="5"/>
  <c r="AF21" i="5"/>
  <c r="AF5" i="5"/>
  <c r="AF22" i="5"/>
  <c r="AF7" i="5"/>
  <c r="AF4" i="5"/>
  <c r="AF10" i="5"/>
  <c r="AF23" i="5"/>
  <c r="AF15" i="5"/>
  <c r="AF8" i="5"/>
  <c r="AF12" i="5"/>
  <c r="AF17" i="5"/>
</calcChain>
</file>

<file path=xl/sharedStrings.xml><?xml version="1.0" encoding="utf-8"?>
<sst xmlns="http://schemas.openxmlformats.org/spreadsheetml/2006/main" count="129" uniqueCount="73">
  <si>
    <t xml:space="preserve">Date
</t>
  </si>
  <si>
    <t>Insolation for the day(POA)</t>
  </si>
  <si>
    <t>Loss of Insolation for the day
due to grid failure</t>
  </si>
  <si>
    <t>Insolation for the day
with grid outage period taken out</t>
  </si>
  <si>
    <t>Deemed Generation</t>
  </si>
  <si>
    <t>Total Export for the day
(KWH)</t>
  </si>
  <si>
    <t>Total Generation(including deemed generation)</t>
  </si>
  <si>
    <t>Total Generation in Inverters</t>
  </si>
  <si>
    <r>
      <rPr>
        <b/>
        <sz val="12"/>
        <color rgb="FF000000"/>
        <rFont val="Calibri"/>
        <charset val="134"/>
      </rPr>
      <t>PR(Actual)=PR</t>
    </r>
    <r>
      <rPr>
        <b/>
        <vertAlign val="subscript"/>
        <sz val="12"/>
        <color rgb="FF000000"/>
        <rFont val="Calibri"/>
        <charset val="134"/>
      </rPr>
      <t xml:space="preserve">day </t>
    </r>
    <r>
      <rPr>
        <b/>
        <sz val="12"/>
        <color rgb="FF000000"/>
        <rFont val="Calibri"/>
        <charset val="134"/>
      </rPr>
      <t xml:space="preserve">considering "E", grid outage &amp; load shedding </t>
    </r>
  </si>
  <si>
    <t>Guaranteed PR</t>
  </si>
  <si>
    <t xml:space="preserve">CUF </t>
  </si>
  <si>
    <t>Plant Generation Time</t>
  </si>
  <si>
    <t>Plant UP time</t>
  </si>
  <si>
    <t>Plant down time</t>
  </si>
  <si>
    <t>Grid outage loss time</t>
  </si>
  <si>
    <t>Weather</t>
  </si>
  <si>
    <t>Ambient Temperature©</t>
  </si>
  <si>
    <t>Surface Temperature©</t>
  </si>
  <si>
    <t>Remark</t>
  </si>
  <si>
    <r>
      <rPr>
        <b/>
        <sz val="12"/>
        <color rgb="FF000000"/>
        <rFont val="Calibri"/>
        <charset val="134"/>
      </rPr>
      <t>Wh/m</t>
    </r>
    <r>
      <rPr>
        <b/>
        <vertAlign val="superscript"/>
        <sz val="12"/>
        <color rgb="FF000000"/>
        <rFont val="Calibri"/>
        <charset val="134"/>
      </rPr>
      <t>2</t>
    </r>
  </si>
  <si>
    <t>kWh</t>
  </si>
  <si>
    <t>kwh</t>
  </si>
  <si>
    <t>KWh</t>
  </si>
  <si>
    <t xml:space="preserve">(%) </t>
  </si>
  <si>
    <t>(%)</t>
  </si>
  <si>
    <t>min</t>
  </si>
  <si>
    <t>Plant</t>
  </si>
  <si>
    <t>2.9 MWp RBA Textiles Kumppam</t>
  </si>
  <si>
    <t>DC Capacity</t>
  </si>
  <si>
    <t xml:space="preserve">2.9 MWp </t>
  </si>
  <si>
    <t>Date</t>
  </si>
  <si>
    <t>Insolation -POA (Wh/m2)</t>
  </si>
  <si>
    <t>Generation</t>
  </si>
  <si>
    <t>Actual PR (contractual)</t>
  </si>
  <si>
    <r>
      <rPr>
        <b/>
        <sz val="11"/>
        <color rgb="FF000000"/>
        <rFont val="Calibri"/>
        <charset val="134"/>
      </rPr>
      <t xml:space="preserve">Specific Yield </t>
    </r>
    <r>
      <rPr>
        <b/>
        <sz val="10"/>
        <color rgb="FF000000"/>
        <rFont val="Calibri"/>
        <charset val="134"/>
      </rPr>
      <t>(kWh/MWp)</t>
    </r>
  </si>
  <si>
    <t>INV-NO</t>
  </si>
  <si>
    <t>DC capacity(KW)</t>
  </si>
  <si>
    <t>INV-1</t>
  </si>
  <si>
    <t>INV-2</t>
  </si>
  <si>
    <t>INV-3</t>
  </si>
  <si>
    <t>INV-4</t>
  </si>
  <si>
    <t>INV-5</t>
  </si>
  <si>
    <t>INV-6</t>
  </si>
  <si>
    <t>INV-7</t>
  </si>
  <si>
    <t>INV-8</t>
  </si>
  <si>
    <t>INV-9</t>
  </si>
  <si>
    <t>INV-10</t>
  </si>
  <si>
    <t>INV-11</t>
  </si>
  <si>
    <t>INV-12</t>
  </si>
  <si>
    <t>INV-13</t>
  </si>
  <si>
    <t>INV-14</t>
  </si>
  <si>
    <t>INV-15</t>
  </si>
  <si>
    <t>INV-16</t>
  </si>
  <si>
    <t>INV-17</t>
  </si>
  <si>
    <t>INV-18</t>
  </si>
  <si>
    <t>INV-19</t>
  </si>
  <si>
    <t>INV-20</t>
  </si>
  <si>
    <t>INV-21</t>
  </si>
  <si>
    <t>INV-22</t>
  </si>
  <si>
    <t>RBA, Textiles</t>
  </si>
  <si>
    <t>INV No</t>
  </si>
  <si>
    <t>INV NO</t>
  </si>
  <si>
    <t>Breakdown</t>
  </si>
  <si>
    <t>PM &amp; Module cleaning deatiles (Statues)</t>
  </si>
  <si>
    <t>Total</t>
  </si>
  <si>
    <t>g</t>
  </si>
  <si>
    <t>Meter  Reading In HT Yard (Billing Meter )</t>
  </si>
  <si>
    <t xml:space="preserve"> 1 MWp Akshaya Solar Power Plant</t>
  </si>
  <si>
    <t>Climate Varation</t>
  </si>
  <si>
    <t xml:space="preserve">Plant Name : 1 MWp New  Solar Power Plant                  </t>
  </si>
  <si>
    <t>AUG- 2026 Generation report</t>
  </si>
  <si>
    <t xml:space="preserve">Three Inverter Running In Tempoary Cable </t>
  </si>
  <si>
    <t xml:space="preserve">Climate Varation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</si>
</sst>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0"/>
    <numFmt numFmtId="166" formatCode="[$-409]d/mmm;@"/>
    <numFmt numFmtId="167" formatCode="0.0"/>
    <numFmt numFmtId="168" formatCode="[$-409]d/mmm/yy;@"/>
    <numFmt numFmtId="169" formatCode="0.00_);[Red]\(0.00\)"/>
    <numFmt numFmtId="170" formatCode="0;[Red]0"/>
    <numFmt numFmtId="171" formatCode="0.0_ "/>
  </numFmts>
  <fonts count="22">
    <font>
      <sz val="11"/>
      <color rgb="FF333333"/>
      <name val="Calibri"/>
      <charset val="1"/>
    </font>
    <font>
      <sz val="11"/>
      <color theme="1"/>
      <name val="Calibri"/>
      <family val="2"/>
      <scheme val="minor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1"/>
      <color rgb="FF000000"/>
      <name val="Calibri"/>
      <charset val="134"/>
    </font>
    <font>
      <sz val="12"/>
      <color rgb="FF333333"/>
      <name val="Calibri"/>
      <charset val="1"/>
    </font>
    <font>
      <b/>
      <sz val="12"/>
      <color rgb="FF333333"/>
      <name val="Calibri"/>
      <charset val="134"/>
    </font>
    <font>
      <b/>
      <sz val="12"/>
      <color rgb="FF0070C0"/>
      <name val="Calibri"/>
      <charset val="134"/>
    </font>
    <font>
      <b/>
      <sz val="12"/>
      <name val="Calibri"/>
      <charset val="134"/>
    </font>
    <font>
      <sz val="11"/>
      <color theme="1"/>
      <name val="roboto-medium"/>
      <charset val="134"/>
    </font>
    <font>
      <sz val="12"/>
      <color rgb="FF333333"/>
      <name val="Calibri"/>
      <charset val="134"/>
    </font>
    <font>
      <sz val="10"/>
      <name val="Arial"/>
      <charset val="134"/>
    </font>
    <font>
      <b/>
      <sz val="10"/>
      <color rgb="FF000000"/>
      <name val="Calibri"/>
      <charset val="134"/>
    </font>
    <font>
      <b/>
      <vertAlign val="subscript"/>
      <sz val="12"/>
      <color rgb="FF000000"/>
      <name val="Calibri"/>
      <charset val="134"/>
    </font>
    <font>
      <b/>
      <vertAlign val="superscript"/>
      <sz val="12"/>
      <color rgb="FF000000"/>
      <name val="Calibri"/>
      <charset val="134"/>
    </font>
    <font>
      <sz val="8"/>
      <name val="Calibri"/>
      <charset val="1"/>
    </font>
    <font>
      <sz val="12"/>
      <color rgb="FF000000"/>
      <name val="Calibri"/>
      <family val="2"/>
    </font>
    <font>
      <sz val="12"/>
      <color rgb="FF333333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BBB59"/>
      </patternFill>
    </fill>
    <fill>
      <patternFill patternType="solid">
        <fgColor rgb="FFFFFFFF"/>
        <bgColor rgb="FFF6F9FC"/>
      </patternFill>
    </fill>
    <fill>
      <patternFill patternType="solid">
        <fgColor theme="0"/>
        <bgColor rgb="FFEEECE1"/>
      </patternFill>
    </fill>
    <fill>
      <patternFill patternType="solid">
        <fgColor rgb="FFDCE6F2"/>
        <bgColor rgb="FFEEECE1"/>
      </patternFill>
    </fill>
    <fill>
      <patternFill patternType="solid">
        <fgColor rgb="FFD9D9D9"/>
        <bgColor rgb="FFDCE6F2"/>
      </patternFill>
    </fill>
    <fill>
      <patternFill patternType="solid">
        <fgColor rgb="FFEEECE1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89013336588644"/>
        <bgColor rgb="FFEEECE1"/>
      </patternFill>
    </fill>
    <fill>
      <patternFill patternType="solid">
        <fgColor theme="8" tint="0.79989013336588644"/>
        <bgColor rgb="FFEEECE1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9" fontId="6" fillId="0" borderId="0" applyBorder="0" applyProtection="0"/>
    <xf numFmtId="0" fontId="6" fillId="0" borderId="0"/>
    <xf numFmtId="0" fontId="13" fillId="0" borderId="0"/>
    <xf numFmtId="166" fontId="6" fillId="0" borderId="0"/>
    <xf numFmtId="0" fontId="13" fillId="0" borderId="0">
      <alignment vertical="center"/>
    </xf>
  </cellStyleXfs>
  <cellXfs count="9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6" fillId="0" borderId="4" xfId="1" applyNumberFormat="1" applyBorder="1" applyAlignment="1" applyProtection="1">
      <alignment horizontal="center" vertical="center"/>
    </xf>
    <xf numFmtId="0" fontId="5" fillId="0" borderId="1" xfId="0" applyFont="1" applyBorder="1" applyAlignment="1">
      <alignment horizontal="center"/>
    </xf>
    <xf numFmtId="0" fontId="0" fillId="2" borderId="1" xfId="0" applyFill="1" applyBorder="1"/>
    <xf numFmtId="166" fontId="4" fillId="3" borderId="1" xfId="0" applyNumberFormat="1" applyFont="1" applyFill="1" applyBorder="1" applyAlignment="1">
      <alignment horizontal="center"/>
    </xf>
    <xf numFmtId="164" fontId="6" fillId="0" borderId="1" xfId="1" applyNumberFormat="1" applyBorder="1" applyAlignment="1" applyProtection="1">
      <alignment horizontal="center" vertic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0" borderId="5" xfId="0" applyFont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3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4" fontId="6" fillId="0" borderId="1" xfId="1" applyNumberFormat="1" applyBorder="1" applyProtection="1"/>
    <xf numFmtId="167" fontId="0" fillId="0" borderId="1" xfId="0" applyNumberFormat="1" applyBorder="1"/>
    <xf numFmtId="1" fontId="0" fillId="0" borderId="1" xfId="0" applyNumberFormat="1" applyBorder="1"/>
    <xf numFmtId="10" fontId="0" fillId="0" borderId="1" xfId="0" applyNumberFormat="1" applyBorder="1"/>
    <xf numFmtId="168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4" borderId="0" xfId="0" applyFont="1" applyFill="1"/>
    <xf numFmtId="168" fontId="5" fillId="0" borderId="0" xfId="0" applyNumberFormat="1" applyFont="1" applyAlignment="1">
      <alignment horizontal="center" vertical="center"/>
    </xf>
    <xf numFmtId="168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68" fontId="5" fillId="8" borderId="1" xfId="0" applyNumberFormat="1" applyFont="1" applyFill="1" applyBorder="1" applyAlignment="1">
      <alignment horizontal="center" vertical="center" wrapText="1"/>
    </xf>
    <xf numFmtId="169" fontId="5" fillId="9" borderId="1" xfId="0" applyNumberFormat="1" applyFont="1" applyFill="1" applyBorder="1" applyAlignment="1" applyProtection="1">
      <alignment horizontal="center" vertical="center"/>
      <protection locked="0"/>
    </xf>
    <xf numFmtId="1" fontId="5" fillId="6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0" fontId="5" fillId="6" borderId="1" xfId="1" applyNumberFormat="1" applyFont="1" applyFill="1" applyBorder="1" applyAlignment="1" applyProtection="1">
      <alignment horizontal="center" vertical="center"/>
    </xf>
    <xf numFmtId="170" fontId="5" fillId="6" borderId="1" xfId="1" applyNumberFormat="1" applyFont="1" applyFill="1" applyBorder="1" applyAlignment="1" applyProtection="1">
      <alignment horizontal="center" vertical="center"/>
    </xf>
    <xf numFmtId="10" fontId="12" fillId="6" borderId="1" xfId="1" applyNumberFormat="1" applyFont="1" applyFill="1" applyBorder="1" applyAlignment="1" applyProtection="1">
      <alignment horizontal="center" vertical="center" wrapText="1"/>
    </xf>
    <xf numFmtId="0" fontId="5" fillId="6" borderId="1" xfId="2" applyFont="1" applyFill="1" applyBorder="1" applyAlignment="1" applyProtection="1">
      <alignment horizontal="center" vertical="center"/>
      <protection locked="0"/>
    </xf>
    <xf numFmtId="0" fontId="5" fillId="6" borderId="1" xfId="1" applyNumberFormat="1" applyFont="1" applyFill="1" applyBorder="1" applyAlignment="1" applyProtection="1">
      <alignment horizontal="center" vertical="center" wrapText="1"/>
    </xf>
    <xf numFmtId="0" fontId="5" fillId="10" borderId="1" xfId="1" applyNumberFormat="1" applyFont="1" applyFill="1" applyBorder="1" applyAlignment="1" applyProtection="1">
      <alignment horizontal="center" vertical="center" wrapText="1"/>
      <protection locked="0"/>
    </xf>
    <xf numFmtId="171" fontId="5" fillId="10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11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 vertical="center" wrapText="1"/>
    </xf>
    <xf numFmtId="168" fontId="20" fillId="0" borderId="1" xfId="0" applyNumberFormat="1" applyFont="1" applyBorder="1" applyAlignment="1">
      <alignment horizontal="center" vertical="center"/>
    </xf>
    <xf numFmtId="4" fontId="2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0" fontId="19" fillId="6" borderId="1" xfId="1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6">
    <cellStyle name="Normal" xfId="0" builtinId="0"/>
    <cellStyle name="Normal 2" xfId="3" xr:uid="{00000000-0005-0000-0000-000021000000}"/>
    <cellStyle name="Normal 3" xfId="4" xr:uid="{00000000-0005-0000-0000-000026000000}"/>
    <cellStyle name="Normal 5 2 2" xfId="2" xr:uid="{00000000-0005-0000-0000-000007000000}"/>
    <cellStyle name="Normal 6" xfId="5" xr:uid="{00000000-0005-0000-0000-000030000000}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C0504D"/>
      <rgbColor rgb="00FDEADA"/>
      <rgbColor rgb="00DCE6F2"/>
      <rgbColor rgb="00660066"/>
      <rgbColor rgb="00FF8080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EECE1"/>
      <rgbColor rgb="00F6F9FC"/>
      <rgbColor rgb="00B0C6E1"/>
      <rgbColor rgb="00FF99CC"/>
      <rgbColor rgb="00CC99FF"/>
      <rgbColor rgb="00FFCC99"/>
      <rgbColor rgb="004F81BD"/>
      <rgbColor rgb="004BACC6"/>
      <rgbColor rgb="0092D050"/>
      <rgbColor rgb="00FFCC00"/>
      <rgbColor rgb="00FF9900"/>
      <rgbColor rgb="00FF6600"/>
      <rgbColor rgb="008064A2"/>
      <rgbColor rgb="009BBB59"/>
      <rgbColor rgb="00003366"/>
      <rgbColor rgb="00339966"/>
      <rgbColor rgb="00003300"/>
      <rgbColor rgb="00404040"/>
      <rgbColor rgb="00993300"/>
      <rgbColor rgb="00993366"/>
      <rgbColor rgb="0059595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'AUG - 2026 month generation'!$B$1:$B$4</c:f>
              <c:strCache>
                <c:ptCount val="4"/>
                <c:pt idx="0">
                  <c:v>Plant Name : 1 MWp New  Solar Power Plant                  </c:v>
                </c:pt>
                <c:pt idx="1">
                  <c:v>Insolation for the day(POA)</c:v>
                </c:pt>
                <c:pt idx="2">
                  <c:v>Wh/m2</c:v>
                </c:pt>
                <c:pt idx="3">
                  <c:v>1-Aug-26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generation'!$B$5:$B$33</c:f>
              <c:numCache>
                <c:formatCode>0.00_);[Red]\(0.00\)</c:formatCode>
                <c:ptCount val="29"/>
                <c:pt idx="2">
                  <c:v>4467</c:v>
                </c:pt>
                <c:pt idx="13">
                  <c:v>5213</c:v>
                </c:pt>
                <c:pt idx="16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1-4036-B924-BC040E9B3227}"/>
            </c:ext>
          </c:extLst>
        </c:ser>
        <c:ser>
          <c:idx val="1"/>
          <c:order val="1"/>
          <c:tx>
            <c:strRef>
              <c:f>'AUG - 2026 month generation'!$C$1:$C$4</c:f>
              <c:strCache>
                <c:ptCount val="4"/>
                <c:pt idx="0">
                  <c:v>Plant Name : 1 MWp New  Solar Power Plant                  </c:v>
                </c:pt>
                <c:pt idx="1">
                  <c:v>Loss of Insolation for the day
due to grid failure</c:v>
                </c:pt>
                <c:pt idx="2">
                  <c:v>Wh/m2</c:v>
                </c:pt>
                <c:pt idx="3">
                  <c:v>1-Aug-26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generation'!$C$5:$C$33</c:f>
              <c:numCache>
                <c:formatCode>0</c:formatCode>
                <c:ptCount val="29"/>
                <c:pt idx="2">
                  <c:v>0</c:v>
                </c:pt>
                <c:pt idx="13">
                  <c:v>500</c:v>
                </c:pt>
                <c:pt idx="16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B1-4036-B924-BC040E9B3227}"/>
            </c:ext>
          </c:extLst>
        </c:ser>
        <c:ser>
          <c:idx val="2"/>
          <c:order val="2"/>
          <c:tx>
            <c:strRef>
              <c:f>'AUG - 2026 month generation'!$D$1:$D$4</c:f>
              <c:strCache>
                <c:ptCount val="4"/>
                <c:pt idx="0">
                  <c:v>AUG- 2026 Generation report</c:v>
                </c:pt>
                <c:pt idx="1">
                  <c:v>Insolation for the day
with grid outage period taken out</c:v>
                </c:pt>
                <c:pt idx="2">
                  <c:v>Wh/m2</c:v>
                </c:pt>
                <c:pt idx="3">
                  <c:v>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generation'!$D$5:$D$33</c:f>
              <c:numCache>
                <c:formatCode>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4467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4713</c:v>
                </c:pt>
                <c:pt idx="14">
                  <c:v>0</c:v>
                </c:pt>
                <c:pt idx="15">
                  <c:v>0</c:v>
                </c:pt>
                <c:pt idx="16">
                  <c:v>4700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B1-4036-B924-BC040E9B3227}"/>
            </c:ext>
          </c:extLst>
        </c:ser>
        <c:ser>
          <c:idx val="3"/>
          <c:order val="3"/>
          <c:tx>
            <c:strRef>
              <c:f>'AUG - 2026 month generation'!$E$1:$E$4</c:f>
              <c:strCache>
                <c:ptCount val="4"/>
                <c:pt idx="0">
                  <c:v>AUG- 2026 Generation report</c:v>
                </c:pt>
                <c:pt idx="1">
                  <c:v>Deemed Generation</c:v>
                </c:pt>
                <c:pt idx="2">
                  <c:v>kWh</c:v>
                </c:pt>
                <c:pt idx="3">
                  <c:v>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generation'!$E$5:$E$33</c:f>
              <c:numCache>
                <c:formatCode>0</c:formatCode>
                <c:ptCount val="29"/>
                <c:pt idx="2">
                  <c:v>0</c:v>
                </c:pt>
                <c:pt idx="13">
                  <c:v>350</c:v>
                </c:pt>
                <c:pt idx="16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B1-4036-B924-BC040E9B3227}"/>
            </c:ext>
          </c:extLst>
        </c:ser>
        <c:ser>
          <c:idx val="4"/>
          <c:order val="4"/>
          <c:tx>
            <c:strRef>
              <c:f>'AUG - 2026 month generation'!$F$1:$F$4</c:f>
              <c:strCache>
                <c:ptCount val="4"/>
                <c:pt idx="0">
                  <c:v>AUG- 2026 Generation report</c:v>
                </c:pt>
                <c:pt idx="1">
                  <c:v>Meter  Reading In HT Yard (Billing Meter )</c:v>
                </c:pt>
                <c:pt idx="2">
                  <c:v>kWh</c:v>
                </c:pt>
                <c:pt idx="3">
                  <c:v>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generation'!$F$5:$F$33</c:f>
              <c:numCache>
                <c:formatCode>#,##0.00</c:formatCode>
                <c:ptCount val="29"/>
                <c:pt idx="2">
                  <c:v>0</c:v>
                </c:pt>
                <c:pt idx="13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B1-4036-B924-BC040E9B3227}"/>
            </c:ext>
          </c:extLst>
        </c:ser>
        <c:ser>
          <c:idx val="5"/>
          <c:order val="5"/>
          <c:tx>
            <c:strRef>
              <c:f>'AUG - 2026 month generation'!$G$1:$G$4</c:f>
              <c:strCache>
                <c:ptCount val="4"/>
                <c:pt idx="0">
                  <c:v>AUG- 2026 Generation report</c:v>
                </c:pt>
                <c:pt idx="1">
                  <c:v>Total Export for the day
(KWH)</c:v>
                </c:pt>
                <c:pt idx="2">
                  <c:v>kWh</c:v>
                </c:pt>
                <c:pt idx="3">
                  <c:v>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generation'!$G$5:$G$33</c:f>
              <c:numCache>
                <c:formatCode>#,##0.00</c:formatCode>
                <c:ptCount val="29"/>
                <c:pt idx="2">
                  <c:v>3118</c:v>
                </c:pt>
                <c:pt idx="13">
                  <c:v>3197</c:v>
                </c:pt>
                <c:pt idx="16">
                  <c:v>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B1-4036-B924-BC040E9B3227}"/>
            </c:ext>
          </c:extLst>
        </c:ser>
        <c:ser>
          <c:idx val="6"/>
          <c:order val="6"/>
          <c:tx>
            <c:strRef>
              <c:f>'AUG - 2026 month generation'!$H$1:$H$4</c:f>
              <c:strCache>
                <c:ptCount val="4"/>
                <c:pt idx="0">
                  <c:v>AUG- 2026 Generation report</c:v>
                </c:pt>
                <c:pt idx="1">
                  <c:v>Total Generation(including deemed generation)</c:v>
                </c:pt>
                <c:pt idx="2">
                  <c:v>kwh</c:v>
                </c:pt>
                <c:pt idx="3">
                  <c:v>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generation'!$H$5:$H$33</c:f>
              <c:numCache>
                <c:formatCode>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3118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3547</c:v>
                </c:pt>
                <c:pt idx="14">
                  <c:v>0</c:v>
                </c:pt>
                <c:pt idx="15">
                  <c:v>0</c:v>
                </c:pt>
                <c:pt idx="16">
                  <c:v>4115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B1-4036-B924-BC040E9B3227}"/>
            </c:ext>
          </c:extLst>
        </c:ser>
        <c:ser>
          <c:idx val="7"/>
          <c:order val="7"/>
          <c:tx>
            <c:strRef>
              <c:f>'AUG - 2026 month generation'!$I$1:$I$4</c:f>
              <c:strCache>
                <c:ptCount val="4"/>
                <c:pt idx="0">
                  <c:v>AUG- 2026 Generation report</c:v>
                </c:pt>
                <c:pt idx="1">
                  <c:v>Total Generation in Inverters</c:v>
                </c:pt>
                <c:pt idx="2">
                  <c:v>KWh</c:v>
                </c:pt>
                <c:pt idx="3">
                  <c:v>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generation'!$I$5:$I$33</c:f>
              <c:numCache>
                <c:formatCode>#,##0.00</c:formatCode>
                <c:ptCount val="29"/>
                <c:pt idx="2">
                  <c:v>3118</c:v>
                </c:pt>
                <c:pt idx="10" formatCode="0">
                  <c:v>0</c:v>
                </c:pt>
                <c:pt idx="13">
                  <c:v>3197</c:v>
                </c:pt>
                <c:pt idx="16">
                  <c:v>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B1-4036-B924-BC040E9B3227}"/>
            </c:ext>
          </c:extLst>
        </c:ser>
        <c:ser>
          <c:idx val="8"/>
          <c:order val="8"/>
          <c:tx>
            <c:strRef>
              <c:f>'AUG - 2026 month generation'!$J$1:$J$4</c:f>
              <c:strCache>
                <c:ptCount val="4"/>
                <c:pt idx="0">
                  <c:v>AUG- 2026 Generation report</c:v>
                </c:pt>
                <c:pt idx="1">
                  <c:v>PR(Actual)=PRday considering "E", grid outage &amp; load shedding </c:v>
                </c:pt>
                <c:pt idx="2">
                  <c:v>(%) </c:v>
                </c:pt>
                <c:pt idx="3">
                  <c:v>#DIV/0!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generation'!$J$5:$J$33</c:f>
              <c:numCache>
                <c:formatCode>0.00%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0.69800761137228562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0.6804143487435258</c:v>
                </c:pt>
                <c:pt idx="14">
                  <c:v>0</c:v>
                </c:pt>
                <c:pt idx="15">
                  <c:v>0</c:v>
                </c:pt>
                <c:pt idx="16">
                  <c:v>0.76203703703703707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B1-4036-B924-BC040E9B3227}"/>
            </c:ext>
          </c:extLst>
        </c:ser>
        <c:ser>
          <c:idx val="9"/>
          <c:order val="9"/>
          <c:tx>
            <c:strRef>
              <c:f>'AUG - 2026 month generation'!$K$1:$K$4</c:f>
              <c:strCache>
                <c:ptCount val="4"/>
                <c:pt idx="0">
                  <c:v>AUG- 2026 Generation report</c:v>
                </c:pt>
                <c:pt idx="1">
                  <c:v>Guaranteed PR</c:v>
                </c:pt>
                <c:pt idx="2">
                  <c:v>(%)</c:v>
                </c:pt>
                <c:pt idx="3">
                  <c:v>#DIV/0!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generation'!$K$5:$K$33</c:f>
              <c:numCache>
                <c:formatCode>0.00%</c:formatCode>
                <c:ptCount val="29"/>
                <c:pt idx="2">
                  <c:v>0.74260000000000004</c:v>
                </c:pt>
                <c:pt idx="13">
                  <c:v>0.74460000000000004</c:v>
                </c:pt>
                <c:pt idx="16">
                  <c:v>0.74429999999999996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B1-4036-B924-BC040E9B3227}"/>
            </c:ext>
          </c:extLst>
        </c:ser>
        <c:ser>
          <c:idx val="10"/>
          <c:order val="10"/>
          <c:tx>
            <c:strRef>
              <c:f>'AUG - 2026 month generation'!$L$1:$L$4</c:f>
              <c:strCache>
                <c:ptCount val="4"/>
                <c:pt idx="0">
                  <c:v>AUG- 2026 Generation report</c:v>
                </c:pt>
                <c:pt idx="1">
                  <c:v>CUF </c:v>
                </c:pt>
                <c:pt idx="2">
                  <c:v>(%) </c:v>
                </c:pt>
                <c:pt idx="3">
                  <c:v>0.00%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generation'!$L$5:$L$33</c:f>
              <c:numCache>
                <c:formatCode>0.00%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0.12991666666666665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0.14779166666666665</c:v>
                </c:pt>
                <c:pt idx="14">
                  <c:v>0</c:v>
                </c:pt>
                <c:pt idx="15">
                  <c:v>0</c:v>
                </c:pt>
                <c:pt idx="16">
                  <c:v>0.17145833333333335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B1-4036-B924-BC040E9B3227}"/>
            </c:ext>
          </c:extLst>
        </c:ser>
        <c:ser>
          <c:idx val="11"/>
          <c:order val="11"/>
          <c:tx>
            <c:strRef>
              <c:f>'AUG - 2026 month generation'!$M$1:$M$4</c:f>
              <c:strCache>
                <c:ptCount val="4"/>
                <c:pt idx="0">
                  <c:v>AUG- 2026 Generation report</c:v>
                </c:pt>
                <c:pt idx="1">
                  <c:v>Plant Generation Time</c:v>
                </c:pt>
                <c:pt idx="2">
                  <c:v>min</c:v>
                </c:pt>
                <c:pt idx="3">
                  <c:v>0.00%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generation'!$M$5:$M$33</c:f>
              <c:numCache>
                <c:formatCode>0;[Red]0</c:formatCode>
                <c:ptCount val="29"/>
                <c:pt idx="2">
                  <c:v>750</c:v>
                </c:pt>
                <c:pt idx="13">
                  <c:v>750</c:v>
                </c:pt>
                <c:pt idx="16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4B1-4036-B924-BC040E9B3227}"/>
            </c:ext>
          </c:extLst>
        </c:ser>
        <c:ser>
          <c:idx val="12"/>
          <c:order val="12"/>
          <c:tx>
            <c:strRef>
              <c:f>'AUG - 2026 month generation'!$N$1:$N$4</c:f>
              <c:strCache>
                <c:ptCount val="4"/>
                <c:pt idx="0">
                  <c:v>AUG- 2026 Generation report</c:v>
                </c:pt>
                <c:pt idx="1">
                  <c:v>Plant UP time</c:v>
                </c:pt>
                <c:pt idx="2">
                  <c:v>(%)</c:v>
                </c:pt>
                <c:pt idx="3">
                  <c:v>#DIV/0!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generation'!$N$5:$N$33</c:f>
              <c:numCache>
                <c:formatCode>0.00%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0.91333333333333333</c:v>
                </c:pt>
                <c:pt idx="14">
                  <c:v>0</c:v>
                </c:pt>
                <c:pt idx="15">
                  <c:v>0</c:v>
                </c:pt>
                <c:pt idx="16">
                  <c:v>0.90400000000000003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4B1-4036-B924-BC040E9B3227}"/>
            </c:ext>
          </c:extLst>
        </c:ser>
        <c:ser>
          <c:idx val="13"/>
          <c:order val="13"/>
          <c:tx>
            <c:strRef>
              <c:f>'AUG - 2026 month generation'!$O$1:$O$4</c:f>
              <c:strCache>
                <c:ptCount val="4"/>
                <c:pt idx="0">
                  <c:v>AUG- 2026 Generation report</c:v>
                </c:pt>
                <c:pt idx="1">
                  <c:v>Plant down time</c:v>
                </c:pt>
                <c:pt idx="2">
                  <c:v>min</c:v>
                </c:pt>
                <c:pt idx="3">
                  <c:v>#DIV/0!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generation'!$O$5:$O$33</c:f>
              <c:numCache>
                <c:formatCode>0;[Red]0</c:formatCode>
                <c:ptCount val="29"/>
                <c:pt idx="2">
                  <c:v>0</c:v>
                </c:pt>
                <c:pt idx="13">
                  <c:v>65</c:v>
                </c:pt>
                <c:pt idx="1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4B1-4036-B924-BC040E9B3227}"/>
            </c:ext>
          </c:extLst>
        </c:ser>
        <c:ser>
          <c:idx val="14"/>
          <c:order val="14"/>
          <c:tx>
            <c:strRef>
              <c:f>'AUG - 2026 month generation'!$P$1:$P$4</c:f>
              <c:strCache>
                <c:ptCount val="4"/>
                <c:pt idx="0">
                  <c:v>AUG- 2026 Generation report</c:v>
                </c:pt>
                <c:pt idx="1">
                  <c:v>Grid outage loss time</c:v>
                </c:pt>
                <c:pt idx="2">
                  <c:v>min</c:v>
                </c:pt>
                <c:pt idx="3">
                  <c:v>#DIV/0!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generation'!$P$5:$P$33</c:f>
              <c:numCache>
                <c:formatCode>0;[Red]0</c:formatCode>
                <c:ptCount val="29"/>
                <c:pt idx="2">
                  <c:v>0</c:v>
                </c:pt>
                <c:pt idx="13">
                  <c:v>65</c:v>
                </c:pt>
                <c:pt idx="1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4B1-4036-B924-BC040E9B3227}"/>
            </c:ext>
          </c:extLst>
        </c:ser>
        <c:ser>
          <c:idx val="15"/>
          <c:order val="15"/>
          <c:tx>
            <c:strRef>
              <c:f>'AUG - 2026 month generation'!$Q$1:$Q$4</c:f>
              <c:strCache>
                <c:ptCount val="4"/>
                <c:pt idx="0">
                  <c:v>AUG- 2026 Generation report</c:v>
                </c:pt>
                <c:pt idx="1">
                  <c:v>Weather</c:v>
                </c:pt>
                <c:pt idx="2">
                  <c:v>min</c:v>
                </c:pt>
                <c:pt idx="3">
                  <c:v>#DIV/0!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generation'!$Q$5:$Q$33</c:f>
              <c:numCache>
                <c:formatCode>0.00%</c:formatCode>
                <c:ptCount val="29"/>
                <c:pt idx="2">
                  <c:v>0</c:v>
                </c:pt>
                <c:pt idx="13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4B1-4036-B924-BC040E9B3227}"/>
            </c:ext>
          </c:extLst>
        </c:ser>
        <c:ser>
          <c:idx val="16"/>
          <c:order val="16"/>
          <c:tx>
            <c:strRef>
              <c:f>'AUG - 2026 month generation'!$R$1:$R$4</c:f>
              <c:strCache>
                <c:ptCount val="4"/>
                <c:pt idx="0">
                  <c:v>AUG- 2026 Generation report</c:v>
                </c:pt>
                <c:pt idx="1">
                  <c:v>Ambient Temperature©</c:v>
                </c:pt>
                <c:pt idx="2">
                  <c:v>min</c:v>
                </c:pt>
                <c:pt idx="3">
                  <c:v>#DIV/0!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generation'!$R$5:$R$33</c:f>
              <c:numCache>
                <c:formatCode>General</c:formatCode>
                <c:ptCount val="29"/>
              </c:numCache>
            </c:numRef>
          </c:val>
          <c:extLst>
            <c:ext xmlns:c16="http://schemas.microsoft.com/office/drawing/2014/chart" uri="{C3380CC4-5D6E-409C-BE32-E72D297353CC}">
              <c16:uniqueId val="{00000010-24B1-4036-B924-BC040E9B3227}"/>
            </c:ext>
          </c:extLst>
        </c:ser>
        <c:ser>
          <c:idx val="17"/>
          <c:order val="17"/>
          <c:tx>
            <c:strRef>
              <c:f>'AUG - 2026 month generation'!$S$1:$S$4</c:f>
              <c:strCache>
                <c:ptCount val="4"/>
                <c:pt idx="0">
                  <c:v>AUG- 2026 Generation report</c:v>
                </c:pt>
                <c:pt idx="1">
                  <c:v>Surface Temperature©</c:v>
                </c:pt>
                <c:pt idx="2">
                  <c:v>min</c:v>
                </c:pt>
                <c:pt idx="3">
                  <c:v>#DIV/0!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generation'!$S$5:$S$33</c:f>
              <c:numCache>
                <c:formatCode>General</c:formatCode>
                <c:ptCount val="29"/>
                <c:pt idx="2">
                  <c:v>27</c:v>
                </c:pt>
                <c:pt idx="13">
                  <c:v>21</c:v>
                </c:pt>
                <c:pt idx="1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4B1-4036-B924-BC040E9B3227}"/>
            </c:ext>
          </c:extLst>
        </c:ser>
        <c:ser>
          <c:idx val="18"/>
          <c:order val="18"/>
          <c:tx>
            <c:strRef>
              <c:f>'AUG - 2026 month generation'!$T$1:$T$4</c:f>
              <c:strCache>
                <c:ptCount val="4"/>
                <c:pt idx="0">
                  <c:v>AUG- 2026 Generation report</c:v>
                </c:pt>
                <c:pt idx="1">
                  <c:v>PM &amp; Module cleaning deatiles (Statues)</c:v>
                </c:pt>
                <c:pt idx="2">
                  <c:v>min</c:v>
                </c:pt>
                <c:pt idx="3">
                  <c:v>#DIV/0!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generation'!$T$5:$T$33</c:f>
              <c:numCache>
                <c:formatCode>General</c:formatCode>
                <c:ptCount val="29"/>
              </c:numCache>
            </c:numRef>
          </c:val>
          <c:extLst>
            <c:ext xmlns:c16="http://schemas.microsoft.com/office/drawing/2014/chart" uri="{C3380CC4-5D6E-409C-BE32-E72D297353CC}">
              <c16:uniqueId val="{00000012-24B1-4036-B924-BC040E9B3227}"/>
            </c:ext>
          </c:extLst>
        </c:ser>
        <c:ser>
          <c:idx val="19"/>
          <c:order val="19"/>
          <c:tx>
            <c:strRef>
              <c:f>'AUG - 2026 month generation'!$U$1:$U$4</c:f>
              <c:strCache>
                <c:ptCount val="4"/>
                <c:pt idx="0">
                  <c:v>AUG- 2026 Generation report</c:v>
                </c:pt>
                <c:pt idx="1">
                  <c:v>Breakdown</c:v>
                </c:pt>
                <c:pt idx="2">
                  <c:v>min</c:v>
                </c:pt>
                <c:pt idx="3">
                  <c:v>#DIV/0!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generation'!$U$5:$U$33</c:f>
              <c:numCache>
                <c:formatCode>General</c:formatCode>
                <c:ptCount val="29"/>
              </c:numCache>
            </c:numRef>
          </c:val>
          <c:extLst>
            <c:ext xmlns:c16="http://schemas.microsoft.com/office/drawing/2014/chart" uri="{C3380CC4-5D6E-409C-BE32-E72D297353CC}">
              <c16:uniqueId val="{00000013-24B1-4036-B924-BC040E9B3227}"/>
            </c:ext>
          </c:extLst>
        </c:ser>
        <c:ser>
          <c:idx val="20"/>
          <c:order val="20"/>
          <c:tx>
            <c:strRef>
              <c:f>'AUG - 2026 month generation'!$V$1:$V$4</c:f>
              <c:strCache>
                <c:ptCount val="4"/>
                <c:pt idx="0">
                  <c:v>AUG- 2026 Generation report</c:v>
                </c:pt>
                <c:pt idx="1">
                  <c:v>Remark</c:v>
                </c:pt>
                <c:pt idx="2">
                  <c:v>min</c:v>
                </c:pt>
                <c:pt idx="3">
                  <c:v>#DIV/0!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'AUG - 2026 month generation'!$A$5:$A$33</c:f>
              <c:numCache>
                <c:formatCode>[$-409]d/mmm/yy;@</c:formatCode>
                <c:ptCount val="29"/>
                <c:pt idx="0">
                  <c:v>46236</c:v>
                </c:pt>
                <c:pt idx="1">
                  <c:v>46237</c:v>
                </c:pt>
                <c:pt idx="2">
                  <c:v>46238</c:v>
                </c:pt>
                <c:pt idx="3">
                  <c:v>46239</c:v>
                </c:pt>
                <c:pt idx="4">
                  <c:v>46240</c:v>
                </c:pt>
                <c:pt idx="5">
                  <c:v>46241</c:v>
                </c:pt>
                <c:pt idx="6">
                  <c:v>46242</c:v>
                </c:pt>
                <c:pt idx="7">
                  <c:v>46243</c:v>
                </c:pt>
                <c:pt idx="8">
                  <c:v>46244</c:v>
                </c:pt>
                <c:pt idx="9">
                  <c:v>46245</c:v>
                </c:pt>
                <c:pt idx="10">
                  <c:v>46246</c:v>
                </c:pt>
                <c:pt idx="11">
                  <c:v>46247</c:v>
                </c:pt>
                <c:pt idx="12">
                  <c:v>46248</c:v>
                </c:pt>
                <c:pt idx="13">
                  <c:v>46249</c:v>
                </c:pt>
                <c:pt idx="14">
                  <c:v>46250</c:v>
                </c:pt>
                <c:pt idx="15">
                  <c:v>46251</c:v>
                </c:pt>
                <c:pt idx="16">
                  <c:v>46252</c:v>
                </c:pt>
                <c:pt idx="17">
                  <c:v>46253</c:v>
                </c:pt>
                <c:pt idx="18">
                  <c:v>46254</c:v>
                </c:pt>
                <c:pt idx="19">
                  <c:v>46255</c:v>
                </c:pt>
                <c:pt idx="20">
                  <c:v>46256</c:v>
                </c:pt>
                <c:pt idx="21">
                  <c:v>46257</c:v>
                </c:pt>
                <c:pt idx="22">
                  <c:v>46258</c:v>
                </c:pt>
                <c:pt idx="23">
                  <c:v>46259</c:v>
                </c:pt>
                <c:pt idx="24">
                  <c:v>46260</c:v>
                </c:pt>
                <c:pt idx="25">
                  <c:v>46261</c:v>
                </c:pt>
                <c:pt idx="26">
                  <c:v>46262</c:v>
                </c:pt>
                <c:pt idx="27">
                  <c:v>46263</c:v>
                </c:pt>
                <c:pt idx="28">
                  <c:v>46264</c:v>
                </c:pt>
              </c:numCache>
            </c:numRef>
          </c:cat>
          <c:val>
            <c:numRef>
              <c:f>'AUG - 2026 month generation'!$V$5:$V$33</c:f>
              <c:numCache>
                <c:formatCode>General</c:formatCode>
                <c:ptCount val="29"/>
                <c:pt idx="2">
                  <c:v>0</c:v>
                </c:pt>
                <c:pt idx="13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4B1-4036-B924-BC040E9B3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973232"/>
        <c:axId val="1113953552"/>
      </c:barChart>
      <c:dateAx>
        <c:axId val="1113973232"/>
        <c:scaling>
          <c:orientation val="minMax"/>
        </c:scaling>
        <c:delete val="0"/>
        <c:axPos val="b"/>
        <c:numFmt formatCode="[$-409]d/m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953552"/>
        <c:crosses val="autoZero"/>
        <c:auto val="1"/>
        <c:lblOffset val="100"/>
        <c:baseTimeUnit val="days"/>
      </c:dateAx>
      <c:valAx>
        <c:axId val="11139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97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 </a:t>
            </a:r>
            <a:r>
              <a:rPr lang="en-IN" b="1" i="1">
                <a:solidFill>
                  <a:schemeClr val="tx1">
                    <a:lumMod val="65000"/>
                    <a:lumOff val="35000"/>
                  </a:schemeClr>
                </a:solidFill>
                <a:uFillTx/>
              </a:rPr>
              <a:t>Plant </a:t>
            </a:r>
            <a:r>
              <a:rPr lang="en-IN"/>
              <a:t>Performance Ratio Plant:2.9MW RBA Textile site Kuppam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011815962340002E-2"/>
          <c:y val="0.12782024367950001"/>
          <c:w val="0.93279181915607901"/>
          <c:h val="0.764250072264576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 Graph'!$A$35:$A$38</c:f>
              <c:numCache>
                <c:formatCode>[$-409]d/mmm/yy;@</c:formatCode>
                <c:ptCount val="4"/>
                <c:pt idx="0">
                  <c:v>46245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</c:numCache>
            </c:numRef>
          </c:cat>
          <c:val>
            <c:numRef>
              <c:f>'PR Graph'!$B$35:$B$38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0-4679-854D-FF83B6E593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 Graph'!$A$35:$A$38</c:f>
              <c:numCache>
                <c:formatCode>[$-409]d/mmm/yy;@</c:formatCode>
                <c:ptCount val="4"/>
                <c:pt idx="0">
                  <c:v>46245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</c:numCache>
            </c:numRef>
          </c:cat>
          <c:val>
            <c:numRef>
              <c:f>'PR Graph'!$C$35:$C$66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3197</c:v>
                </c:pt>
                <c:pt idx="15">
                  <c:v>0</c:v>
                </c:pt>
                <c:pt idx="16">
                  <c:v>0</c:v>
                </c:pt>
                <c:pt idx="17">
                  <c:v>3715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0-4679-854D-FF83B6E593C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 Graph'!$A$35:$A$38</c:f>
              <c:numCache>
                <c:formatCode>[$-409]d/mmm/yy;@</c:formatCode>
                <c:ptCount val="4"/>
                <c:pt idx="0">
                  <c:v>46245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</c:numCache>
            </c:numRef>
          </c:cat>
          <c:val>
            <c:numRef>
              <c:f>'PR Graph'!$D$35:$D$66</c:f>
              <c:numCache>
                <c:formatCode>0.00%</c:formatCode>
                <c:ptCount val="31"/>
                <c:pt idx="0">
                  <c:v>0.78</c:v>
                </c:pt>
                <c:pt idx="1">
                  <c:v>0.78</c:v>
                </c:pt>
                <c:pt idx="2">
                  <c:v>0.78</c:v>
                </c:pt>
                <c:pt idx="3">
                  <c:v>0.78</c:v>
                </c:pt>
                <c:pt idx="4">
                  <c:v>0.78</c:v>
                </c:pt>
                <c:pt idx="5">
                  <c:v>0.78</c:v>
                </c:pt>
                <c:pt idx="6">
                  <c:v>0.78</c:v>
                </c:pt>
                <c:pt idx="7">
                  <c:v>0.78</c:v>
                </c:pt>
                <c:pt idx="8">
                  <c:v>0.78</c:v>
                </c:pt>
                <c:pt idx="9">
                  <c:v>0.78</c:v>
                </c:pt>
                <c:pt idx="10">
                  <c:v>0.78</c:v>
                </c:pt>
                <c:pt idx="11">
                  <c:v>0.78</c:v>
                </c:pt>
                <c:pt idx="12">
                  <c:v>0.78</c:v>
                </c:pt>
                <c:pt idx="13">
                  <c:v>0.78</c:v>
                </c:pt>
                <c:pt idx="14">
                  <c:v>0.78</c:v>
                </c:pt>
                <c:pt idx="15">
                  <c:v>0.78</c:v>
                </c:pt>
                <c:pt idx="16">
                  <c:v>0.78</c:v>
                </c:pt>
                <c:pt idx="17">
                  <c:v>0.78</c:v>
                </c:pt>
                <c:pt idx="18">
                  <c:v>0.78</c:v>
                </c:pt>
                <c:pt idx="19">
                  <c:v>0.78</c:v>
                </c:pt>
                <c:pt idx="20">
                  <c:v>0.78</c:v>
                </c:pt>
                <c:pt idx="21">
                  <c:v>0.78</c:v>
                </c:pt>
                <c:pt idx="22">
                  <c:v>0.78</c:v>
                </c:pt>
                <c:pt idx="23">
                  <c:v>0.78</c:v>
                </c:pt>
                <c:pt idx="24">
                  <c:v>0.78</c:v>
                </c:pt>
                <c:pt idx="25">
                  <c:v>0.78</c:v>
                </c:pt>
                <c:pt idx="26">
                  <c:v>0.78</c:v>
                </c:pt>
                <c:pt idx="27">
                  <c:v>0.78</c:v>
                </c:pt>
                <c:pt idx="28">
                  <c:v>0.78</c:v>
                </c:pt>
                <c:pt idx="29">
                  <c:v>0.78</c:v>
                </c:pt>
                <c:pt idx="30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0-4679-854D-FF83B6E593C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 Graph'!$A$35:$A$38</c:f>
              <c:numCache>
                <c:formatCode>[$-409]d/mmm/yy;@</c:formatCode>
                <c:ptCount val="4"/>
                <c:pt idx="0">
                  <c:v>46245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</c:numCache>
            </c:numRef>
          </c:cat>
          <c:val>
            <c:numRef>
              <c:f>'PR Graph'!$E$35:$E$66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0.69800761137228562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0.6804143487435258</c:v>
                </c:pt>
                <c:pt idx="15">
                  <c:v>0</c:v>
                </c:pt>
                <c:pt idx="16">
                  <c:v>0</c:v>
                </c:pt>
                <c:pt idx="17">
                  <c:v>0.76203703703703707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0-4679-854D-FF83B6E593C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 Graph'!$A$35:$A$38</c:f>
              <c:numCache>
                <c:formatCode>[$-409]d/mmm/yy;@</c:formatCode>
                <c:ptCount val="4"/>
                <c:pt idx="0">
                  <c:v>46245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</c:numCache>
            </c:numRef>
          </c:cat>
          <c:val>
            <c:numRef>
              <c:f>'PR Graph'!$F$35:$F$66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1.0751724137931034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1.1024137931034483</c:v>
                </c:pt>
                <c:pt idx="15">
                  <c:v>0</c:v>
                </c:pt>
                <c:pt idx="16">
                  <c:v>0</c:v>
                </c:pt>
                <c:pt idx="17">
                  <c:v>1.2810344827586206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20-4679-854D-FF83B6E593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0631674"/>
        <c:axId val="603667030"/>
      </c:barChart>
      <c:dateAx>
        <c:axId val="570631674"/>
        <c:scaling>
          <c:orientation val="minMax"/>
        </c:scaling>
        <c:delete val="0"/>
        <c:axPos val="b"/>
        <c:numFmt formatCode="[$-409]d/m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67030"/>
        <c:crosses val="autoZero"/>
        <c:auto val="1"/>
        <c:lblOffset val="100"/>
        <c:baseTimeUnit val="days"/>
      </c:dateAx>
      <c:valAx>
        <c:axId val="6036670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6316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Inverter Level Deviation</a:t>
            </a:r>
          </a:p>
        </c:rich>
      </c:tx>
      <c:layout>
        <c:manualLayout>
          <c:xMode val="edge"/>
          <c:yMode val="edge"/>
          <c:x val="0.36842352941176498"/>
          <c:y val="5.9548254620123198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09250796289"/>
          <c:y val="5.7524160147261902E-2"/>
          <c:w val="0.88663619997230303"/>
          <c:h val="0.93557294063506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'Dev. w.r.t plots tracker'!$B$24:$AE$24</c:f>
              <c:strCache>
                <c:ptCount val="30"/>
                <c:pt idx="0">
                  <c:v>-7.3%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'Dev. w.r.t plots tracker'!$AF$3:$AF$23</c:f>
            </c:multiLvlStrRef>
          </c:cat>
          <c:val>
            <c:numRef>
              <c:f>'Dev. w.r.t plots tracker'!$AF$24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8-4803-92B9-AC17C16C8E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68067702"/>
        <c:axId val="76891304"/>
      </c:barChart>
      <c:catAx>
        <c:axId val="16806770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1304"/>
        <c:crosses val="autoZero"/>
        <c:auto val="1"/>
        <c:lblAlgn val="ctr"/>
        <c:lblOffset val="100"/>
        <c:noMultiLvlLbl val="0"/>
      </c:catAx>
      <c:valAx>
        <c:axId val="768913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77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5C1918-0ED3-46A0-A3DA-A9B407297436}">
  <sheetPr/>
  <sheetViews>
    <sheetView zoomScale="6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7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BED5C-AFBD-1B63-2E39-6ED52967F0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69091</xdr:colOff>
      <xdr:row>38</xdr:row>
      <xdr:rowOff>121873</xdr:rowOff>
    </xdr:from>
    <xdr:to>
      <xdr:col>23</xdr:col>
      <xdr:colOff>550189</xdr:colOff>
      <xdr:row>60</xdr:row>
      <xdr:rowOff>187913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298450</xdr:colOff>
      <xdr:row>27</xdr:row>
      <xdr:rowOff>50165</xdr:rowOff>
    </xdr:from>
    <xdr:to>
      <xdr:col>23</xdr:col>
      <xdr:colOff>53340</xdr:colOff>
      <xdr:row>41</xdr:row>
      <xdr:rowOff>166370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38"/>
  <sheetViews>
    <sheetView tabSelected="1" topLeftCell="D1" zoomScale="101" zoomScaleNormal="101" workbookViewId="0">
      <pane ySplit="2" topLeftCell="A20" activePane="bottomLeft" state="frozen"/>
      <selection activeCell="N1" sqref="N1"/>
      <selection pane="bottomLeft" activeCell="P21" sqref="P21"/>
    </sheetView>
  </sheetViews>
  <sheetFormatPr defaultColWidth="9.140625" defaultRowHeight="15.75"/>
  <cols>
    <col min="1" max="1" width="16" style="55" customWidth="1"/>
    <col min="2" max="2" width="11.7109375" style="53" customWidth="1"/>
    <col min="3" max="3" width="22.85546875" style="53" customWidth="1"/>
    <col min="4" max="4" width="13.5703125" style="53" customWidth="1"/>
    <col min="5" max="5" width="12.28515625" style="53" customWidth="1"/>
    <col min="6" max="6" width="14.7109375" style="53" customWidth="1"/>
    <col min="7" max="7" width="14" style="53" customWidth="1"/>
    <col min="8" max="8" width="12.85546875" style="53" customWidth="1"/>
    <col min="9" max="9" width="13.5703125" style="53" customWidth="1"/>
    <col min="10" max="10" width="12.140625" style="53" customWidth="1"/>
    <col min="11" max="11" width="15.85546875" style="53" customWidth="1"/>
    <col min="12" max="13" width="12.42578125" style="53" customWidth="1"/>
    <col min="14" max="16" width="11.140625" style="53" customWidth="1"/>
    <col min="17" max="17" width="25.140625" style="53" customWidth="1"/>
    <col min="18" max="18" width="13.28515625" style="53" customWidth="1"/>
    <col min="19" max="19" width="9.28515625" style="53" customWidth="1"/>
    <col min="20" max="20" width="92.28515625" style="53" customWidth="1"/>
    <col min="21" max="21" width="77" style="53" customWidth="1"/>
    <col min="22" max="22" width="116.140625" style="53" customWidth="1"/>
    <col min="23" max="23" width="27.42578125" style="53" customWidth="1"/>
    <col min="24" max="1021" width="9.140625" style="53"/>
  </cols>
  <sheetData>
    <row r="1" spans="1:31" s="51" customFormat="1" ht="24" customHeight="1">
      <c r="A1" s="87" t="s">
        <v>69</v>
      </c>
      <c r="B1" s="87"/>
      <c r="C1" s="87"/>
      <c r="D1" s="75" t="s">
        <v>70</v>
      </c>
      <c r="E1" s="75"/>
      <c r="F1" s="76"/>
      <c r="G1" s="76"/>
      <c r="H1" s="76"/>
      <c r="I1" s="76"/>
      <c r="J1" s="76"/>
      <c r="K1" s="74"/>
      <c r="L1" s="74"/>
      <c r="M1" s="74"/>
      <c r="N1" s="74"/>
      <c r="O1" s="74"/>
      <c r="P1" s="74"/>
      <c r="Q1" s="74"/>
      <c r="R1" s="74"/>
      <c r="S1" s="74"/>
      <c r="T1" s="64"/>
    </row>
    <row r="2" spans="1:31" s="52" customFormat="1" ht="92.1" customHeight="1">
      <c r="A2" s="56" t="s">
        <v>0</v>
      </c>
      <c r="B2" s="57" t="s">
        <v>1</v>
      </c>
      <c r="C2" s="57" t="s">
        <v>2</v>
      </c>
      <c r="D2" s="57" t="s">
        <v>3</v>
      </c>
      <c r="E2" s="57" t="s">
        <v>4</v>
      </c>
      <c r="F2" s="58" t="s">
        <v>66</v>
      </c>
      <c r="G2" s="57" t="s">
        <v>5</v>
      </c>
      <c r="H2" s="58" t="s">
        <v>6</v>
      </c>
      <c r="I2" s="58" t="s">
        <v>7</v>
      </c>
      <c r="J2" s="57" t="s">
        <v>8</v>
      </c>
      <c r="K2" s="57" t="s">
        <v>9</v>
      </c>
      <c r="L2" s="58" t="s">
        <v>10</v>
      </c>
      <c r="M2" s="58" t="s">
        <v>11</v>
      </c>
      <c r="N2" s="58" t="s">
        <v>12</v>
      </c>
      <c r="O2" s="58" t="s">
        <v>13</v>
      </c>
      <c r="P2" s="58" t="s">
        <v>14</v>
      </c>
      <c r="Q2" s="58" t="s">
        <v>15</v>
      </c>
      <c r="R2" s="58" t="s">
        <v>16</v>
      </c>
      <c r="S2" s="58" t="s">
        <v>17</v>
      </c>
      <c r="T2" s="77" t="s">
        <v>63</v>
      </c>
      <c r="U2" s="77" t="s">
        <v>62</v>
      </c>
      <c r="V2" s="78" t="s">
        <v>18</v>
      </c>
    </row>
    <row r="3" spans="1:31" s="52" customFormat="1" ht="18">
      <c r="A3" s="59"/>
      <c r="B3" s="57" t="s">
        <v>19</v>
      </c>
      <c r="C3" s="57" t="s">
        <v>19</v>
      </c>
      <c r="D3" s="57" t="s">
        <v>19</v>
      </c>
      <c r="E3" s="57" t="s">
        <v>20</v>
      </c>
      <c r="F3" s="57"/>
      <c r="G3" s="57"/>
      <c r="H3" s="58" t="s">
        <v>21</v>
      </c>
      <c r="I3" s="58" t="s">
        <v>22</v>
      </c>
      <c r="J3" s="57" t="s">
        <v>23</v>
      </c>
      <c r="K3" s="57" t="s">
        <v>24</v>
      </c>
      <c r="L3" s="57" t="s">
        <v>23</v>
      </c>
      <c r="M3" s="57" t="s">
        <v>25</v>
      </c>
      <c r="N3" s="57" t="s">
        <v>24</v>
      </c>
      <c r="O3" s="57" t="s">
        <v>25</v>
      </c>
      <c r="P3" s="57" t="s">
        <v>25</v>
      </c>
      <c r="Q3" s="57"/>
      <c r="R3" s="57"/>
      <c r="S3" s="57"/>
      <c r="T3" s="77"/>
      <c r="U3" s="77"/>
      <c r="V3" s="77"/>
    </row>
    <row r="4" spans="1:31" s="53" customFormat="1" ht="75" customHeight="1">
      <c r="A4" s="59">
        <v>46235</v>
      </c>
      <c r="B4" s="60"/>
      <c r="C4" s="47"/>
      <c r="D4" s="61">
        <f t="shared" ref="D4:D9" si="0">B4-C4</f>
        <v>0</v>
      </c>
      <c r="E4" s="61"/>
      <c r="F4" s="62"/>
      <c r="G4" s="81"/>
      <c r="H4" s="61">
        <f>SUM(E4,G4)</f>
        <v>0</v>
      </c>
      <c r="I4" s="81"/>
      <c r="J4" s="66" t="e">
        <f>(H4)/(B4*1)</f>
        <v>#DIV/0!</v>
      </c>
      <c r="K4" s="48"/>
      <c r="L4" s="66">
        <f>H4/24/(1*1000)</f>
        <v>0</v>
      </c>
      <c r="M4" s="67"/>
      <c r="N4" s="66" t="e">
        <f>(M4-O4)/M4</f>
        <v>#DIV/0!</v>
      </c>
      <c r="O4" s="67"/>
      <c r="P4" s="67"/>
      <c r="Q4" s="85"/>
      <c r="R4" s="69"/>
      <c r="S4" s="70"/>
      <c r="T4" s="64"/>
      <c r="U4" s="77"/>
      <c r="V4" s="77"/>
    </row>
    <row r="5" spans="1:31" s="54" customFormat="1">
      <c r="A5" s="59">
        <v>46236</v>
      </c>
      <c r="B5" s="60"/>
      <c r="C5" s="47"/>
      <c r="D5" s="61">
        <f t="shared" si="0"/>
        <v>0</v>
      </c>
      <c r="E5" s="61"/>
      <c r="F5" s="62"/>
      <c r="G5" s="81"/>
      <c r="H5" s="61">
        <f t="shared" ref="H5:I35" si="1">SUM(E5,G5)</f>
        <v>0</v>
      </c>
      <c r="I5" s="81"/>
      <c r="J5" s="66" t="e">
        <f t="shared" ref="J5:J34" si="2">(H5)/(B5*1)</f>
        <v>#DIV/0!</v>
      </c>
      <c r="K5" s="48"/>
      <c r="L5" s="66">
        <f t="shared" ref="L5:L34" si="3">H5/24/(1*1000)</f>
        <v>0</v>
      </c>
      <c r="M5" s="67"/>
      <c r="N5" s="66" t="e">
        <f t="shared" ref="N5:N34" si="4">(M5-O5)/M5</f>
        <v>#DIV/0!</v>
      </c>
      <c r="O5" s="67"/>
      <c r="P5" s="67"/>
      <c r="Q5" s="68"/>
      <c r="R5" s="69"/>
      <c r="S5" s="70"/>
      <c r="T5" s="64"/>
      <c r="U5" s="77"/>
      <c r="V5" s="77"/>
    </row>
    <row r="6" spans="1:31">
      <c r="A6" s="59">
        <v>46237</v>
      </c>
      <c r="B6" s="60"/>
      <c r="C6" s="47"/>
      <c r="D6" s="61">
        <f t="shared" si="0"/>
        <v>0</v>
      </c>
      <c r="E6" s="61"/>
      <c r="F6" s="62"/>
      <c r="G6" s="81"/>
      <c r="H6" s="61">
        <f t="shared" si="1"/>
        <v>0</v>
      </c>
      <c r="I6" s="81"/>
      <c r="J6" s="66" t="e">
        <f t="shared" si="2"/>
        <v>#DIV/0!</v>
      </c>
      <c r="K6" s="48"/>
      <c r="L6" s="66">
        <f t="shared" si="3"/>
        <v>0</v>
      </c>
      <c r="M6" s="67"/>
      <c r="N6" s="66" t="e">
        <f t="shared" si="4"/>
        <v>#DIV/0!</v>
      </c>
      <c r="O6" s="67"/>
      <c r="P6" s="67"/>
      <c r="Q6" s="68"/>
      <c r="R6" s="69"/>
      <c r="S6" s="70"/>
      <c r="T6" s="64"/>
      <c r="U6" s="77"/>
      <c r="V6" s="77"/>
    </row>
    <row r="7" spans="1:31">
      <c r="A7" s="59">
        <v>46238</v>
      </c>
      <c r="B7" s="60">
        <v>4467</v>
      </c>
      <c r="C7" s="47">
        <v>0</v>
      </c>
      <c r="D7" s="61">
        <f t="shared" si="0"/>
        <v>4467</v>
      </c>
      <c r="E7" s="61">
        <v>0</v>
      </c>
      <c r="F7" s="62">
        <v>0</v>
      </c>
      <c r="G7" s="81">
        <v>3118</v>
      </c>
      <c r="H7" s="61">
        <f t="shared" si="1"/>
        <v>3118</v>
      </c>
      <c r="I7" s="81">
        <v>3118</v>
      </c>
      <c r="J7" s="66">
        <f t="shared" si="2"/>
        <v>0.69800761137228562</v>
      </c>
      <c r="K7" s="48">
        <v>0.74260000000000004</v>
      </c>
      <c r="L7" s="66">
        <f t="shared" si="3"/>
        <v>0.12991666666666665</v>
      </c>
      <c r="M7" s="67">
        <v>750</v>
      </c>
      <c r="N7" s="66">
        <f t="shared" si="4"/>
        <v>1</v>
      </c>
      <c r="O7" s="67">
        <v>0</v>
      </c>
      <c r="P7" s="67">
        <v>0</v>
      </c>
      <c r="Q7" s="68" t="s">
        <v>68</v>
      </c>
      <c r="R7" s="69"/>
      <c r="S7" s="70">
        <v>27</v>
      </c>
      <c r="T7" s="64"/>
      <c r="U7" s="77"/>
      <c r="V7" s="77" t="s">
        <v>71</v>
      </c>
    </row>
    <row r="8" spans="1:31" ht="57.75" customHeight="1">
      <c r="A8" s="59">
        <v>46239</v>
      </c>
      <c r="B8" s="60"/>
      <c r="C8" s="47"/>
      <c r="D8" s="61">
        <f t="shared" si="0"/>
        <v>0</v>
      </c>
      <c r="E8" s="61"/>
      <c r="F8" s="62"/>
      <c r="G8" s="81"/>
      <c r="H8" s="61">
        <f t="shared" si="1"/>
        <v>0</v>
      </c>
      <c r="I8" s="81"/>
      <c r="J8" s="66" t="e">
        <f t="shared" si="2"/>
        <v>#DIV/0!</v>
      </c>
      <c r="K8" s="48"/>
      <c r="L8" s="66">
        <f t="shared" si="3"/>
        <v>0</v>
      </c>
      <c r="M8" s="67"/>
      <c r="N8" s="66" t="e">
        <f t="shared" si="4"/>
        <v>#DIV/0!</v>
      </c>
      <c r="O8" s="67"/>
      <c r="P8" s="67"/>
      <c r="Q8" s="68"/>
      <c r="R8" s="70"/>
      <c r="S8" s="70"/>
      <c r="T8" s="64"/>
      <c r="U8" s="77"/>
      <c r="V8" s="77"/>
      <c r="AE8" s="53" t="s">
        <v>65</v>
      </c>
    </row>
    <row r="9" spans="1:31" ht="60" customHeight="1">
      <c r="A9" s="59">
        <v>46240</v>
      </c>
      <c r="B9" s="60"/>
      <c r="C9" s="47"/>
      <c r="D9" s="61">
        <f t="shared" si="0"/>
        <v>0</v>
      </c>
      <c r="E9" s="61"/>
      <c r="F9" s="62"/>
      <c r="G9" s="81"/>
      <c r="H9" s="61">
        <f t="shared" si="1"/>
        <v>0</v>
      </c>
      <c r="I9" s="81"/>
      <c r="J9" s="66" t="e">
        <f t="shared" si="2"/>
        <v>#DIV/0!</v>
      </c>
      <c r="K9" s="48"/>
      <c r="L9" s="66">
        <f t="shared" si="3"/>
        <v>0</v>
      </c>
      <c r="M9" s="67"/>
      <c r="N9" s="66" t="e">
        <f t="shared" si="4"/>
        <v>#DIV/0!</v>
      </c>
      <c r="O9" s="67"/>
      <c r="P9" s="67"/>
      <c r="Q9" s="68"/>
      <c r="R9" s="70"/>
      <c r="S9" s="70"/>
      <c r="T9" s="64"/>
      <c r="U9" s="77"/>
      <c r="V9" s="77"/>
    </row>
    <row r="10" spans="1:31" ht="43.5" customHeight="1">
      <c r="A10" s="59">
        <v>46241</v>
      </c>
      <c r="B10" s="60"/>
      <c r="C10" s="47"/>
      <c r="D10" s="61">
        <f>B10-C10</f>
        <v>0</v>
      </c>
      <c r="E10" s="61"/>
      <c r="F10" s="62"/>
      <c r="G10" s="81"/>
      <c r="H10" s="61">
        <f t="shared" si="1"/>
        <v>0</v>
      </c>
      <c r="I10" s="81"/>
      <c r="J10" s="66" t="e">
        <f t="shared" si="2"/>
        <v>#DIV/0!</v>
      </c>
      <c r="K10" s="48"/>
      <c r="L10" s="66">
        <f t="shared" si="3"/>
        <v>0</v>
      </c>
      <c r="M10" s="67"/>
      <c r="N10" s="66" t="e">
        <f t="shared" si="4"/>
        <v>#DIV/0!</v>
      </c>
      <c r="O10" s="67"/>
      <c r="P10" s="67"/>
      <c r="Q10" s="68"/>
      <c r="R10" s="70"/>
      <c r="S10" s="70"/>
      <c r="T10" s="64"/>
      <c r="U10" s="77"/>
      <c r="V10" s="77"/>
    </row>
    <row r="11" spans="1:31" ht="49.5" customHeight="1">
      <c r="A11" s="59">
        <v>46242</v>
      </c>
      <c r="B11" s="60"/>
      <c r="C11" s="47"/>
      <c r="D11" s="61">
        <f t="shared" ref="D11:D34" si="5">B11-C11</f>
        <v>0</v>
      </c>
      <c r="E11" s="61"/>
      <c r="F11" s="62"/>
      <c r="G11" s="81"/>
      <c r="H11" s="61">
        <f>SUM(E11,G11)</f>
        <v>0</v>
      </c>
      <c r="I11" s="81"/>
      <c r="J11" s="66" t="e">
        <f t="shared" si="2"/>
        <v>#DIV/0!</v>
      </c>
      <c r="K11" s="48"/>
      <c r="L11" s="66">
        <f t="shared" si="3"/>
        <v>0</v>
      </c>
      <c r="M11" s="67"/>
      <c r="N11" s="66" t="e">
        <f t="shared" si="4"/>
        <v>#DIV/0!</v>
      </c>
      <c r="O11" s="67"/>
      <c r="P11" s="67"/>
      <c r="Q11" s="68"/>
      <c r="R11" s="70"/>
      <c r="S11" s="70"/>
      <c r="T11" s="64"/>
      <c r="U11" s="77"/>
      <c r="V11" s="77"/>
    </row>
    <row r="12" spans="1:31" ht="63" customHeight="1">
      <c r="A12" s="59">
        <v>46243</v>
      </c>
      <c r="B12" s="60"/>
      <c r="C12" s="47"/>
      <c r="D12" s="61">
        <f t="shared" si="5"/>
        <v>0</v>
      </c>
      <c r="E12" s="61"/>
      <c r="F12" s="62"/>
      <c r="G12" s="81"/>
      <c r="H12" s="61">
        <f t="shared" ref="H12:H34" si="6">SUM(E12,G12)</f>
        <v>0</v>
      </c>
      <c r="I12" s="81"/>
      <c r="J12" s="66" t="e">
        <f t="shared" si="2"/>
        <v>#DIV/0!</v>
      </c>
      <c r="K12" s="48"/>
      <c r="L12" s="66">
        <f t="shared" si="3"/>
        <v>0</v>
      </c>
      <c r="M12" s="67"/>
      <c r="N12" s="66" t="e">
        <f t="shared" si="4"/>
        <v>#DIV/0!</v>
      </c>
      <c r="O12" s="67"/>
      <c r="P12" s="67"/>
      <c r="Q12" s="68"/>
      <c r="R12" s="70"/>
      <c r="S12" s="70"/>
      <c r="T12" s="64"/>
      <c r="U12" s="77"/>
      <c r="V12" s="77"/>
    </row>
    <row r="13" spans="1:31">
      <c r="A13" s="59">
        <v>46244</v>
      </c>
      <c r="B13" s="60"/>
      <c r="C13" s="47"/>
      <c r="D13" s="61">
        <f t="shared" si="5"/>
        <v>0</v>
      </c>
      <c r="E13" s="61"/>
      <c r="F13" s="62"/>
      <c r="G13" s="81"/>
      <c r="H13" s="61">
        <f t="shared" si="6"/>
        <v>0</v>
      </c>
      <c r="I13" s="81"/>
      <c r="J13" s="66" t="e">
        <f t="shared" si="2"/>
        <v>#DIV/0!</v>
      </c>
      <c r="K13" s="48"/>
      <c r="L13" s="66">
        <f t="shared" si="3"/>
        <v>0</v>
      </c>
      <c r="M13" s="67"/>
      <c r="N13" s="66" t="e">
        <f t="shared" si="4"/>
        <v>#DIV/0!</v>
      </c>
      <c r="O13" s="67"/>
      <c r="P13" s="67"/>
      <c r="Q13" s="68"/>
      <c r="R13" s="70"/>
      <c r="S13" s="70"/>
      <c r="T13" s="64"/>
      <c r="U13" s="64"/>
      <c r="V13" s="77"/>
    </row>
    <row r="14" spans="1:31">
      <c r="A14" s="59">
        <v>46245</v>
      </c>
      <c r="B14" s="60"/>
      <c r="C14" s="47"/>
      <c r="D14" s="61">
        <f t="shared" si="5"/>
        <v>0</v>
      </c>
      <c r="E14" s="61"/>
      <c r="F14" s="62"/>
      <c r="G14" s="81"/>
      <c r="H14" s="61">
        <f t="shared" si="6"/>
        <v>0</v>
      </c>
      <c r="I14" s="81"/>
      <c r="J14" s="66" t="e">
        <f t="shared" si="2"/>
        <v>#DIV/0!</v>
      </c>
      <c r="K14" s="48"/>
      <c r="L14" s="66">
        <f t="shared" si="3"/>
        <v>0</v>
      </c>
      <c r="M14" s="67"/>
      <c r="N14" s="66" t="e">
        <f t="shared" si="4"/>
        <v>#DIV/0!</v>
      </c>
      <c r="O14" s="67"/>
      <c r="P14" s="67"/>
      <c r="Q14" s="68"/>
      <c r="R14" s="70"/>
      <c r="S14" s="70"/>
      <c r="T14" s="64"/>
      <c r="U14" s="77"/>
      <c r="V14" s="77"/>
    </row>
    <row r="15" spans="1:31">
      <c r="A15" s="59">
        <v>46246</v>
      </c>
      <c r="B15" s="60"/>
      <c r="C15" s="47"/>
      <c r="D15" s="61">
        <f t="shared" si="5"/>
        <v>0</v>
      </c>
      <c r="E15" s="61"/>
      <c r="F15" s="62"/>
      <c r="G15" s="81"/>
      <c r="H15" s="61">
        <f t="shared" si="6"/>
        <v>0</v>
      </c>
      <c r="I15" s="61">
        <f t="shared" si="1"/>
        <v>0</v>
      </c>
      <c r="J15" s="66" t="e">
        <f t="shared" si="2"/>
        <v>#DIV/0!</v>
      </c>
      <c r="K15" s="48"/>
      <c r="L15" s="66">
        <f t="shared" si="3"/>
        <v>0</v>
      </c>
      <c r="M15" s="67"/>
      <c r="N15" s="66" t="e">
        <f t="shared" si="4"/>
        <v>#DIV/0!</v>
      </c>
      <c r="O15" s="67"/>
      <c r="P15" s="67"/>
      <c r="Q15" s="68"/>
      <c r="R15" s="70"/>
      <c r="S15" s="70"/>
      <c r="T15" s="64"/>
      <c r="U15" s="77"/>
      <c r="V15" s="77"/>
    </row>
    <row r="16" spans="1:31" ht="43.5" customHeight="1">
      <c r="A16" s="59">
        <v>46247</v>
      </c>
      <c r="B16" s="60"/>
      <c r="C16" s="47"/>
      <c r="D16" s="61">
        <f t="shared" ref="D16:D17" si="7">B16-C16</f>
        <v>0</v>
      </c>
      <c r="E16" s="61"/>
      <c r="F16" s="62"/>
      <c r="G16" s="81"/>
      <c r="H16" s="61">
        <f t="shared" si="6"/>
        <v>0</v>
      </c>
      <c r="I16" s="81"/>
      <c r="J16" s="66" t="e">
        <f t="shared" ref="J16:J17" si="8">(H16)/(B16*1)</f>
        <v>#DIV/0!</v>
      </c>
      <c r="K16" s="48"/>
      <c r="L16" s="66">
        <f t="shared" ref="L16:L17" si="9">H16/24/(1*1000)</f>
        <v>0</v>
      </c>
      <c r="M16" s="67"/>
      <c r="N16" s="66" t="e">
        <f t="shared" si="4"/>
        <v>#DIV/0!</v>
      </c>
      <c r="O16" s="67"/>
      <c r="P16" s="67"/>
      <c r="Q16" s="68"/>
      <c r="R16" s="70"/>
      <c r="S16" s="70"/>
      <c r="T16" s="64"/>
      <c r="U16" s="77"/>
      <c r="V16" s="77"/>
      <c r="X16" s="77"/>
    </row>
    <row r="17" spans="1:22">
      <c r="A17" s="59">
        <v>46248</v>
      </c>
      <c r="B17" s="60"/>
      <c r="C17" s="47"/>
      <c r="D17" s="61">
        <f t="shared" si="7"/>
        <v>0</v>
      </c>
      <c r="E17" s="61"/>
      <c r="F17" s="62"/>
      <c r="G17" s="81"/>
      <c r="H17" s="61">
        <f t="shared" si="6"/>
        <v>0</v>
      </c>
      <c r="I17" s="81"/>
      <c r="J17" s="66" t="e">
        <f t="shared" si="8"/>
        <v>#DIV/0!</v>
      </c>
      <c r="K17" s="48"/>
      <c r="L17" s="66">
        <f t="shared" si="9"/>
        <v>0</v>
      </c>
      <c r="M17" s="67"/>
      <c r="N17" s="66" t="e">
        <f t="shared" si="4"/>
        <v>#DIV/0!</v>
      </c>
      <c r="O17" s="67"/>
      <c r="P17" s="67"/>
      <c r="Q17" s="68"/>
      <c r="R17" s="71"/>
      <c r="S17" s="70"/>
      <c r="T17" s="64"/>
      <c r="U17" s="77"/>
      <c r="V17" s="77"/>
    </row>
    <row r="18" spans="1:22">
      <c r="A18" s="59">
        <v>46249</v>
      </c>
      <c r="B18" s="60">
        <v>5213</v>
      </c>
      <c r="C18" s="47">
        <v>500</v>
      </c>
      <c r="D18" s="61">
        <f t="shared" si="5"/>
        <v>4713</v>
      </c>
      <c r="E18" s="61">
        <v>350</v>
      </c>
      <c r="F18" s="62">
        <v>0</v>
      </c>
      <c r="G18" s="81">
        <v>3197</v>
      </c>
      <c r="H18" s="61">
        <f t="shared" si="6"/>
        <v>3547</v>
      </c>
      <c r="I18" s="81">
        <v>3197</v>
      </c>
      <c r="J18" s="66">
        <f t="shared" si="2"/>
        <v>0.6804143487435258</v>
      </c>
      <c r="K18" s="48">
        <v>0.74460000000000004</v>
      </c>
      <c r="L18" s="66">
        <f t="shared" si="3"/>
        <v>0.14779166666666665</v>
      </c>
      <c r="M18" s="67">
        <v>750</v>
      </c>
      <c r="N18" s="66">
        <f t="shared" si="4"/>
        <v>0.91333333333333333</v>
      </c>
      <c r="O18" s="67">
        <v>65</v>
      </c>
      <c r="P18" s="67">
        <v>65</v>
      </c>
      <c r="Q18" s="68" t="s">
        <v>68</v>
      </c>
      <c r="R18" s="71"/>
      <c r="S18" s="70">
        <v>21</v>
      </c>
      <c r="T18" s="64"/>
      <c r="U18" s="77"/>
      <c r="V18" s="77" t="s">
        <v>72</v>
      </c>
    </row>
    <row r="19" spans="1:22">
      <c r="A19" s="59">
        <v>46250</v>
      </c>
      <c r="B19" s="60"/>
      <c r="C19" s="47"/>
      <c r="D19" s="61">
        <f>B19-C19</f>
        <v>0</v>
      </c>
      <c r="E19" s="61"/>
      <c r="F19" s="62"/>
      <c r="G19" s="81"/>
      <c r="H19" s="61">
        <f t="shared" si="6"/>
        <v>0</v>
      </c>
      <c r="I19" s="81"/>
      <c r="J19" s="66" t="e">
        <f>(H19)/(B19*1)</f>
        <v>#DIV/0!</v>
      </c>
      <c r="K19" s="48"/>
      <c r="L19" s="66">
        <f t="shared" si="3"/>
        <v>0</v>
      </c>
      <c r="M19" s="67"/>
      <c r="N19" s="66" t="e">
        <f t="shared" si="4"/>
        <v>#DIV/0!</v>
      </c>
      <c r="O19" s="67"/>
      <c r="P19" s="67"/>
      <c r="Q19" s="68"/>
      <c r="R19" s="71"/>
      <c r="S19" s="70"/>
      <c r="T19" s="64"/>
      <c r="U19" s="77"/>
      <c r="V19" s="77"/>
    </row>
    <row r="20" spans="1:22" ht="51" customHeight="1">
      <c r="A20" s="59">
        <v>46251</v>
      </c>
      <c r="B20" s="60"/>
      <c r="C20" s="47"/>
      <c r="D20" s="61">
        <f>B20-C20</f>
        <v>0</v>
      </c>
      <c r="E20" s="61"/>
      <c r="F20" s="62"/>
      <c r="G20" s="81"/>
      <c r="H20" s="61">
        <f t="shared" si="6"/>
        <v>0</v>
      </c>
      <c r="I20" s="81"/>
      <c r="J20" s="66" t="e">
        <f>(H20)/(B20*1)</f>
        <v>#DIV/0!</v>
      </c>
      <c r="K20" s="48"/>
      <c r="L20" s="66">
        <f t="shared" si="3"/>
        <v>0</v>
      </c>
      <c r="M20" s="67"/>
      <c r="N20" s="66" t="e">
        <f t="shared" si="4"/>
        <v>#DIV/0!</v>
      </c>
      <c r="O20" s="67"/>
      <c r="P20" s="67"/>
      <c r="Q20" s="68"/>
      <c r="R20" s="71"/>
      <c r="S20" s="70"/>
      <c r="T20" s="64"/>
      <c r="U20" s="77"/>
      <c r="V20" s="77"/>
    </row>
    <row r="21" spans="1:22" ht="51.75" customHeight="1">
      <c r="A21" s="59">
        <v>46252</v>
      </c>
      <c r="B21" s="60">
        <v>5400</v>
      </c>
      <c r="C21" s="47">
        <v>700</v>
      </c>
      <c r="D21" s="61">
        <f t="shared" si="5"/>
        <v>4700</v>
      </c>
      <c r="E21" s="61">
        <v>400</v>
      </c>
      <c r="F21" s="62">
        <v>0</v>
      </c>
      <c r="G21" s="81">
        <v>3715</v>
      </c>
      <c r="H21" s="61">
        <f t="shared" si="6"/>
        <v>4115</v>
      </c>
      <c r="I21" s="81">
        <v>3715</v>
      </c>
      <c r="J21" s="66">
        <f t="shared" si="2"/>
        <v>0.76203703703703707</v>
      </c>
      <c r="K21" s="48">
        <v>0.74429999999999996</v>
      </c>
      <c r="L21" s="66">
        <f t="shared" si="3"/>
        <v>0.17145833333333335</v>
      </c>
      <c r="M21" s="67">
        <v>750</v>
      </c>
      <c r="N21" s="66">
        <f t="shared" si="4"/>
        <v>0.90400000000000003</v>
      </c>
      <c r="O21" s="67">
        <v>72</v>
      </c>
      <c r="P21" s="67">
        <v>72</v>
      </c>
      <c r="Q21" s="68" t="s">
        <v>68</v>
      </c>
      <c r="R21" s="71"/>
      <c r="S21" s="71">
        <v>29</v>
      </c>
      <c r="T21" s="64"/>
      <c r="U21" s="77"/>
      <c r="V21" s="77" t="s">
        <v>68</v>
      </c>
    </row>
    <row r="22" spans="1:22" ht="62.25" customHeight="1">
      <c r="A22" s="59">
        <v>46253</v>
      </c>
      <c r="B22" s="60"/>
      <c r="C22" s="47"/>
      <c r="D22" s="61">
        <f t="shared" si="5"/>
        <v>0</v>
      </c>
      <c r="E22" s="61"/>
      <c r="F22" s="62"/>
      <c r="G22" s="81"/>
      <c r="H22" s="61">
        <f t="shared" si="6"/>
        <v>0</v>
      </c>
      <c r="I22" s="81"/>
      <c r="J22" s="66" t="e">
        <f t="shared" si="2"/>
        <v>#DIV/0!</v>
      </c>
      <c r="K22" s="48"/>
      <c r="L22" s="66">
        <f t="shared" si="3"/>
        <v>0</v>
      </c>
      <c r="M22" s="67"/>
      <c r="N22" s="66" t="e">
        <f t="shared" si="4"/>
        <v>#DIV/0!</v>
      </c>
      <c r="O22" s="67"/>
      <c r="P22" s="67"/>
      <c r="Q22" s="68"/>
      <c r="R22" s="71"/>
      <c r="S22" s="71"/>
      <c r="T22" s="64"/>
      <c r="U22" s="77"/>
      <c r="V22" s="77"/>
    </row>
    <row r="23" spans="1:22" ht="48" customHeight="1">
      <c r="A23" s="59">
        <v>46254</v>
      </c>
      <c r="B23" s="60"/>
      <c r="C23" s="47"/>
      <c r="D23" s="61">
        <f t="shared" si="5"/>
        <v>0</v>
      </c>
      <c r="E23" s="61"/>
      <c r="F23" s="62"/>
      <c r="G23" s="81"/>
      <c r="H23" s="61">
        <f t="shared" si="6"/>
        <v>0</v>
      </c>
      <c r="I23" s="65"/>
      <c r="J23" s="66" t="e">
        <f t="shared" si="2"/>
        <v>#DIV/0!</v>
      </c>
      <c r="K23" s="48"/>
      <c r="L23" s="66">
        <f t="shared" si="3"/>
        <v>0</v>
      </c>
      <c r="M23" s="67"/>
      <c r="N23" s="66" t="e">
        <f t="shared" si="4"/>
        <v>#DIV/0!</v>
      </c>
      <c r="O23" s="67"/>
      <c r="P23" s="67"/>
      <c r="Q23" s="68"/>
      <c r="R23" s="71"/>
      <c r="S23" s="71"/>
      <c r="T23" s="64"/>
      <c r="U23" s="77"/>
      <c r="V23" s="77"/>
    </row>
    <row r="24" spans="1:22" ht="56.25" customHeight="1">
      <c r="A24" s="59">
        <v>46255</v>
      </c>
      <c r="B24" s="60"/>
      <c r="C24" s="47"/>
      <c r="D24" s="61">
        <f t="shared" si="5"/>
        <v>0</v>
      </c>
      <c r="E24" s="61"/>
      <c r="F24" s="62"/>
      <c r="G24" s="81"/>
      <c r="H24" s="61">
        <f t="shared" si="6"/>
        <v>0</v>
      </c>
      <c r="I24" s="65"/>
      <c r="J24" s="66" t="e">
        <f t="shared" si="2"/>
        <v>#DIV/0!</v>
      </c>
      <c r="K24" s="48"/>
      <c r="L24" s="66">
        <f t="shared" si="3"/>
        <v>0</v>
      </c>
      <c r="M24" s="67"/>
      <c r="N24" s="66" t="e">
        <f t="shared" si="4"/>
        <v>#DIV/0!</v>
      </c>
      <c r="O24" s="67"/>
      <c r="P24" s="67"/>
      <c r="Q24" s="68"/>
      <c r="R24" s="71"/>
      <c r="S24" s="71"/>
      <c r="T24" s="64"/>
      <c r="U24" s="77"/>
      <c r="V24" s="77"/>
    </row>
    <row r="25" spans="1:22" ht="63" customHeight="1">
      <c r="A25" s="59">
        <v>46256</v>
      </c>
      <c r="B25" s="60"/>
      <c r="C25" s="47"/>
      <c r="D25" s="61">
        <f t="shared" si="5"/>
        <v>0</v>
      </c>
      <c r="E25" s="61"/>
      <c r="F25" s="62"/>
      <c r="G25" s="81"/>
      <c r="H25" s="61">
        <f t="shared" si="6"/>
        <v>0</v>
      </c>
      <c r="I25" s="65"/>
      <c r="J25" s="66" t="e">
        <f t="shared" si="2"/>
        <v>#DIV/0!</v>
      </c>
      <c r="K25" s="48"/>
      <c r="L25" s="66">
        <f t="shared" si="3"/>
        <v>0</v>
      </c>
      <c r="M25" s="67"/>
      <c r="N25" s="66" t="e">
        <f t="shared" si="4"/>
        <v>#DIV/0!</v>
      </c>
      <c r="O25" s="67"/>
      <c r="P25" s="67"/>
      <c r="Q25" s="68"/>
      <c r="R25" s="71"/>
      <c r="S25" s="72"/>
      <c r="T25" s="64"/>
      <c r="U25" s="77"/>
      <c r="V25" s="77"/>
    </row>
    <row r="26" spans="1:22" ht="101.25" customHeight="1">
      <c r="A26" s="59">
        <v>46257</v>
      </c>
      <c r="B26" s="60"/>
      <c r="C26" s="47"/>
      <c r="D26" s="61">
        <f t="shared" si="5"/>
        <v>0</v>
      </c>
      <c r="E26" s="61"/>
      <c r="F26" s="62"/>
      <c r="G26" s="81"/>
      <c r="H26" s="61">
        <f t="shared" si="6"/>
        <v>0</v>
      </c>
      <c r="I26" s="65"/>
      <c r="J26" s="66" t="e">
        <f t="shared" si="2"/>
        <v>#DIV/0!</v>
      </c>
      <c r="K26" s="48"/>
      <c r="L26" s="66">
        <f t="shared" si="3"/>
        <v>0</v>
      </c>
      <c r="M26" s="67"/>
      <c r="N26" s="66" t="e">
        <f t="shared" si="4"/>
        <v>#DIV/0!</v>
      </c>
      <c r="O26" s="67"/>
      <c r="P26" s="67"/>
      <c r="Q26" s="68"/>
      <c r="R26" s="71"/>
      <c r="S26" s="72"/>
      <c r="T26" s="64"/>
      <c r="U26" s="77"/>
      <c r="V26" s="77"/>
    </row>
    <row r="27" spans="1:22" ht="55.5" customHeight="1">
      <c r="A27" s="59">
        <v>46258</v>
      </c>
      <c r="B27" s="60"/>
      <c r="C27" s="47"/>
      <c r="D27" s="61">
        <f t="shared" si="5"/>
        <v>0</v>
      </c>
      <c r="E27" s="61"/>
      <c r="F27" s="62"/>
      <c r="G27" s="81"/>
      <c r="H27" s="61">
        <f t="shared" si="6"/>
        <v>0</v>
      </c>
      <c r="I27" s="65"/>
      <c r="J27" s="66" t="e">
        <f t="shared" si="2"/>
        <v>#DIV/0!</v>
      </c>
      <c r="K27" s="48"/>
      <c r="L27" s="66">
        <f t="shared" si="3"/>
        <v>0</v>
      </c>
      <c r="M27" s="67"/>
      <c r="N27" s="66" t="e">
        <f t="shared" si="4"/>
        <v>#DIV/0!</v>
      </c>
      <c r="O27" s="67"/>
      <c r="P27" s="67"/>
      <c r="Q27" s="68"/>
      <c r="R27" s="71"/>
      <c r="S27" s="72"/>
      <c r="T27" s="64"/>
      <c r="U27" s="77"/>
      <c r="V27" s="77"/>
    </row>
    <row r="28" spans="1:22">
      <c r="A28" s="59">
        <v>46259</v>
      </c>
      <c r="B28" s="60"/>
      <c r="C28" s="47"/>
      <c r="D28" s="61">
        <f t="shared" si="5"/>
        <v>0</v>
      </c>
      <c r="E28" s="61"/>
      <c r="F28" s="62"/>
      <c r="G28" s="81"/>
      <c r="H28" s="61">
        <f t="shared" si="6"/>
        <v>0</v>
      </c>
      <c r="I28" s="65"/>
      <c r="J28" s="66" t="e">
        <f t="shared" si="2"/>
        <v>#DIV/0!</v>
      </c>
      <c r="K28" s="48"/>
      <c r="L28" s="66">
        <f t="shared" si="3"/>
        <v>0</v>
      </c>
      <c r="M28" s="67"/>
      <c r="N28" s="66" t="e">
        <f t="shared" si="4"/>
        <v>#DIV/0!</v>
      </c>
      <c r="O28" s="67"/>
      <c r="P28" s="67"/>
      <c r="Q28" s="68"/>
      <c r="R28" s="70"/>
      <c r="S28" s="72"/>
      <c r="T28" s="64"/>
      <c r="U28" s="77"/>
      <c r="V28" s="77"/>
    </row>
    <row r="29" spans="1:22">
      <c r="A29" s="59">
        <v>46260</v>
      </c>
      <c r="B29" s="60"/>
      <c r="C29" s="47"/>
      <c r="D29" s="61">
        <f t="shared" si="5"/>
        <v>0</v>
      </c>
      <c r="E29" s="61"/>
      <c r="F29" s="62"/>
      <c r="G29" s="81"/>
      <c r="H29" s="61">
        <f t="shared" si="6"/>
        <v>0</v>
      </c>
      <c r="I29" s="65"/>
      <c r="J29" s="66" t="e">
        <f t="shared" si="2"/>
        <v>#DIV/0!</v>
      </c>
      <c r="K29" s="48"/>
      <c r="L29" s="66">
        <f t="shared" si="3"/>
        <v>0</v>
      </c>
      <c r="M29" s="67"/>
      <c r="N29" s="66" t="e">
        <f t="shared" si="4"/>
        <v>#DIV/0!</v>
      </c>
      <c r="O29" s="67"/>
      <c r="P29" s="67"/>
      <c r="Q29" s="68"/>
      <c r="R29" s="73"/>
      <c r="S29" s="72"/>
      <c r="T29" s="64"/>
      <c r="U29" s="77"/>
      <c r="V29" s="77"/>
    </row>
    <row r="30" spans="1:22" ht="45" customHeight="1">
      <c r="A30" s="59">
        <v>46261</v>
      </c>
      <c r="B30" s="60"/>
      <c r="C30" s="47"/>
      <c r="D30" s="61">
        <f t="shared" si="5"/>
        <v>0</v>
      </c>
      <c r="E30" s="61"/>
      <c r="F30" s="62"/>
      <c r="G30" s="81"/>
      <c r="H30" s="61">
        <f t="shared" si="6"/>
        <v>0</v>
      </c>
      <c r="I30" s="65"/>
      <c r="J30" s="66" t="e">
        <f t="shared" si="2"/>
        <v>#DIV/0!</v>
      </c>
      <c r="K30" s="48"/>
      <c r="L30" s="66">
        <f t="shared" si="3"/>
        <v>0</v>
      </c>
      <c r="M30" s="67"/>
      <c r="N30" s="66" t="e">
        <f t="shared" si="4"/>
        <v>#DIV/0!</v>
      </c>
      <c r="O30" s="67"/>
      <c r="P30" s="67"/>
      <c r="Q30" s="68"/>
      <c r="R30" s="73"/>
      <c r="S30" s="72"/>
      <c r="T30" s="64"/>
      <c r="U30" s="77"/>
      <c r="V30" s="77"/>
    </row>
    <row r="31" spans="1:22">
      <c r="A31" s="59">
        <v>46262</v>
      </c>
      <c r="B31" s="60"/>
      <c r="C31" s="47"/>
      <c r="D31" s="61">
        <f t="shared" si="5"/>
        <v>0</v>
      </c>
      <c r="E31" s="61"/>
      <c r="F31" s="62"/>
      <c r="G31" s="81"/>
      <c r="H31" s="61">
        <f t="shared" si="6"/>
        <v>0</v>
      </c>
      <c r="I31" s="65"/>
      <c r="J31" s="66" t="e">
        <f t="shared" si="2"/>
        <v>#DIV/0!</v>
      </c>
      <c r="K31" s="48"/>
      <c r="L31" s="66">
        <f t="shared" si="3"/>
        <v>0</v>
      </c>
      <c r="M31" s="67"/>
      <c r="N31" s="66" t="e">
        <f t="shared" si="4"/>
        <v>#DIV/0!</v>
      </c>
      <c r="O31" s="67"/>
      <c r="P31" s="67"/>
      <c r="Q31" s="68"/>
      <c r="R31" s="73"/>
      <c r="S31" s="72"/>
      <c r="T31" s="64"/>
      <c r="U31" s="77"/>
      <c r="V31" s="77"/>
    </row>
    <row r="32" spans="1:22">
      <c r="A32" s="59">
        <v>46263</v>
      </c>
      <c r="B32" s="60"/>
      <c r="C32" s="47"/>
      <c r="D32" s="61">
        <f t="shared" si="5"/>
        <v>0</v>
      </c>
      <c r="E32" s="61"/>
      <c r="F32" s="62"/>
      <c r="G32" s="81"/>
      <c r="H32" s="61">
        <f t="shared" si="6"/>
        <v>0</v>
      </c>
      <c r="I32" s="65"/>
      <c r="J32" s="66" t="e">
        <f t="shared" si="2"/>
        <v>#DIV/0!</v>
      </c>
      <c r="K32" s="48"/>
      <c r="L32" s="66">
        <f t="shared" si="3"/>
        <v>0</v>
      </c>
      <c r="M32" s="67"/>
      <c r="N32" s="66" t="e">
        <f t="shared" si="4"/>
        <v>#DIV/0!</v>
      </c>
      <c r="O32" s="67"/>
      <c r="P32" s="67"/>
      <c r="Q32" s="68"/>
      <c r="R32" s="70"/>
      <c r="S32" s="72"/>
      <c r="T32" s="64"/>
      <c r="U32" s="77"/>
      <c r="V32" s="77"/>
    </row>
    <row r="33" spans="1:35" ht="51.75" customHeight="1">
      <c r="A33" s="59">
        <v>46264</v>
      </c>
      <c r="B33" s="60"/>
      <c r="C33" s="47"/>
      <c r="D33" s="61">
        <f t="shared" si="5"/>
        <v>0</v>
      </c>
      <c r="E33" s="61"/>
      <c r="F33" s="62"/>
      <c r="G33" s="81"/>
      <c r="H33" s="61">
        <f t="shared" si="6"/>
        <v>0</v>
      </c>
      <c r="I33" s="65"/>
      <c r="J33" s="66" t="e">
        <f t="shared" si="2"/>
        <v>#DIV/0!</v>
      </c>
      <c r="K33" s="48"/>
      <c r="L33" s="66">
        <f t="shared" si="3"/>
        <v>0</v>
      </c>
      <c r="M33" s="67"/>
      <c r="N33" s="66" t="e">
        <f t="shared" si="4"/>
        <v>#DIV/0!</v>
      </c>
      <c r="O33" s="67"/>
      <c r="P33" s="67"/>
      <c r="Q33" s="68"/>
      <c r="R33" s="70"/>
      <c r="S33" s="72"/>
      <c r="T33" s="64"/>
      <c r="U33" s="77"/>
      <c r="V33" s="77"/>
    </row>
    <row r="34" spans="1:35">
      <c r="A34" s="59">
        <v>46265</v>
      </c>
      <c r="B34" s="60"/>
      <c r="C34" s="47"/>
      <c r="D34" s="61">
        <f t="shared" si="5"/>
        <v>0</v>
      </c>
      <c r="E34" s="61"/>
      <c r="F34" s="62"/>
      <c r="G34" s="81"/>
      <c r="H34" s="61">
        <f t="shared" si="6"/>
        <v>0</v>
      </c>
      <c r="I34" s="65"/>
      <c r="J34" s="66" t="e">
        <f t="shared" si="2"/>
        <v>#DIV/0!</v>
      </c>
      <c r="K34" s="48"/>
      <c r="L34" s="66">
        <f t="shared" si="3"/>
        <v>0</v>
      </c>
      <c r="M34" s="67"/>
      <c r="N34" s="66" t="e">
        <f t="shared" si="4"/>
        <v>#DIV/0!</v>
      </c>
      <c r="O34" s="67"/>
      <c r="P34" s="67"/>
      <c r="Q34" s="68"/>
      <c r="R34" s="70"/>
      <c r="S34" s="72"/>
      <c r="T34" s="64"/>
      <c r="U34" s="77"/>
      <c r="V34" s="77"/>
    </row>
    <row r="35" spans="1:35">
      <c r="A35" s="82" t="s">
        <v>64</v>
      </c>
      <c r="B35" s="64">
        <f>SUM(B4:B34)</f>
        <v>15080</v>
      </c>
      <c r="C35" s="47"/>
      <c r="D35" s="61">
        <f t="shared" ref="D35" si="10">B35-C35</f>
        <v>15080</v>
      </c>
      <c r="E35" s="61"/>
      <c r="F35" s="62"/>
      <c r="G35" s="81">
        <f>SUM(G4:G34)</f>
        <v>10030</v>
      </c>
      <c r="H35" s="61">
        <f t="shared" si="1"/>
        <v>10030</v>
      </c>
      <c r="I35" s="83">
        <f>SUM(I4:I34)</f>
        <v>10030</v>
      </c>
      <c r="J35" s="66">
        <f t="shared" ref="J35" si="11">(H35)/(B35*2.9)</f>
        <v>0.22935150461904327</v>
      </c>
      <c r="K35" s="48"/>
      <c r="L35" s="66">
        <f t="shared" ref="L35" si="12">H35/24/(2.9*1000)</f>
        <v>0.14410919540229886</v>
      </c>
      <c r="M35" s="67"/>
      <c r="N35" s="66" t="e">
        <f t="shared" ref="N35" si="13">(M35-O35)/M35</f>
        <v>#DIV/0!</v>
      </c>
      <c r="O35" s="67"/>
      <c r="P35" s="67"/>
      <c r="Q35" s="68"/>
      <c r="R35" s="70"/>
      <c r="S35" s="70"/>
      <c r="T35" s="64"/>
      <c r="U35" s="77"/>
      <c r="V35" s="77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</row>
    <row r="36" spans="1:35">
      <c r="A36" s="45"/>
      <c r="B36" s="64"/>
      <c r="C36" s="47"/>
      <c r="D36" s="61"/>
      <c r="E36" s="61"/>
      <c r="F36" s="62"/>
      <c r="G36" s="63"/>
      <c r="H36" s="61"/>
      <c r="I36" s="63"/>
      <c r="J36" s="66"/>
      <c r="K36" s="48"/>
      <c r="L36" s="66"/>
      <c r="M36" s="67"/>
      <c r="N36" s="66"/>
      <c r="O36" s="67"/>
      <c r="P36" s="67"/>
      <c r="Q36" s="68"/>
      <c r="R36" s="70"/>
      <c r="S36" s="70"/>
      <c r="T36" s="64"/>
      <c r="U36" s="77"/>
      <c r="V36" s="77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</row>
    <row r="37" spans="1:35"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</row>
    <row r="38" spans="1:35"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</row>
  </sheetData>
  <mergeCells count="1">
    <mergeCell ref="A1:C1"/>
  </mergeCells>
  <phoneticPr fontId="17" type="noConversion"/>
  <pageMargins left="0.7" right="0.7" top="0.75" bottom="0.75" header="0.51180555555555496" footer="0.511805555555554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topLeftCell="A43" zoomScale="82" zoomScaleNormal="82" workbookViewId="0">
      <selection activeCell="B56" sqref="B56"/>
    </sheetView>
  </sheetViews>
  <sheetFormatPr defaultColWidth="8.7109375" defaultRowHeight="15"/>
  <cols>
    <col min="1" max="1" width="12.140625" customWidth="1"/>
    <col min="2" max="2" width="13.140625" style="31" customWidth="1"/>
    <col min="3" max="3" width="12" customWidth="1"/>
    <col min="4" max="4" width="11.28515625" customWidth="1"/>
    <col min="5" max="5" width="12" customWidth="1"/>
    <col min="6" max="6" width="12.5703125" customWidth="1"/>
  </cols>
  <sheetData>
    <row r="1" spans="1:6">
      <c r="A1" s="32" t="s">
        <v>26</v>
      </c>
      <c r="B1" s="88" t="s">
        <v>27</v>
      </c>
      <c r="C1" s="88"/>
      <c r="D1" s="88"/>
      <c r="E1" s="88"/>
    </row>
    <row r="2" spans="1:6">
      <c r="A2" s="33" t="s">
        <v>28</v>
      </c>
      <c r="B2" s="34" t="s">
        <v>29</v>
      </c>
      <c r="C2" s="35"/>
      <c r="D2" s="36"/>
      <c r="E2" s="36"/>
    </row>
    <row r="3" spans="1:6" s="30" customFormat="1" ht="45">
      <c r="A3" s="37" t="s">
        <v>30</v>
      </c>
      <c r="B3" s="37" t="s">
        <v>31</v>
      </c>
      <c r="C3" s="37" t="s">
        <v>32</v>
      </c>
      <c r="D3" s="37" t="s">
        <v>9</v>
      </c>
      <c r="E3" s="37" t="s">
        <v>33</v>
      </c>
      <c r="F3" s="38" t="s">
        <v>34</v>
      </c>
    </row>
    <row r="4" spans="1:6" hidden="1">
      <c r="A4" s="39">
        <v>42449</v>
      </c>
      <c r="B4" s="40">
        <v>7261.5</v>
      </c>
      <c r="C4" s="36">
        <v>12214</v>
      </c>
      <c r="D4" s="36"/>
      <c r="E4" s="41">
        <v>0.71881265849454301</v>
      </c>
      <c r="F4" s="42" t="e">
        <f t="shared" ref="F4:F34" si="0">C4/$B$2</f>
        <v>#VALUE!</v>
      </c>
    </row>
    <row r="5" spans="1:6" hidden="1">
      <c r="A5" s="39">
        <v>42450</v>
      </c>
      <c r="B5" s="40">
        <v>7124.6</v>
      </c>
      <c r="C5" s="36">
        <v>11980.2</v>
      </c>
      <c r="D5" s="36"/>
      <c r="E5" s="41">
        <v>0.71860084632731502</v>
      </c>
      <c r="F5" s="42" t="e">
        <f t="shared" si="0"/>
        <v>#VALUE!</v>
      </c>
    </row>
    <row r="6" spans="1:6" hidden="1">
      <c r="A6" s="39">
        <v>42451</v>
      </c>
      <c r="B6" s="40">
        <v>7483.9</v>
      </c>
      <c r="C6" s="36">
        <v>12470.9</v>
      </c>
      <c r="D6" s="36"/>
      <c r="E6" s="41">
        <v>0.71212127960614702</v>
      </c>
      <c r="F6" s="42" t="e">
        <f t="shared" si="0"/>
        <v>#VALUE!</v>
      </c>
    </row>
    <row r="7" spans="1:6" hidden="1">
      <c r="A7" s="39">
        <v>42452</v>
      </c>
      <c r="B7" s="40">
        <v>6402.4</v>
      </c>
      <c r="C7" s="36">
        <v>10814.8</v>
      </c>
      <c r="D7" s="36"/>
      <c r="E7" s="41">
        <v>0.72187139224500196</v>
      </c>
      <c r="F7" s="42" t="e">
        <f t="shared" si="0"/>
        <v>#VALUE!</v>
      </c>
    </row>
    <row r="8" spans="1:6" hidden="1">
      <c r="A8" s="39">
        <v>42453</v>
      </c>
      <c r="B8" s="40">
        <v>6682.2</v>
      </c>
      <c r="C8" s="36">
        <v>11294.3</v>
      </c>
      <c r="D8" s="36"/>
      <c r="E8" s="41">
        <v>0.72231060603153596</v>
      </c>
      <c r="F8" s="42" t="e">
        <f t="shared" si="0"/>
        <v>#VALUE!</v>
      </c>
    </row>
    <row r="9" spans="1:6" hidden="1">
      <c r="A9" s="39">
        <v>42454</v>
      </c>
      <c r="B9" s="40">
        <v>6825.2</v>
      </c>
      <c r="C9" s="36">
        <v>11547.9</v>
      </c>
      <c r="D9" s="36"/>
      <c r="E9" s="41">
        <v>0.723055734630487</v>
      </c>
      <c r="F9" s="42" t="e">
        <f t="shared" si="0"/>
        <v>#VALUE!</v>
      </c>
    </row>
    <row r="10" spans="1:6" hidden="1">
      <c r="A10" s="39">
        <v>42455</v>
      </c>
      <c r="B10" s="40">
        <v>6310.1</v>
      </c>
      <c r="C10" s="36">
        <v>10689.5</v>
      </c>
      <c r="D10" s="36"/>
      <c r="E10" s="41">
        <v>0.72394453228354405</v>
      </c>
      <c r="F10" s="42" t="e">
        <f t="shared" si="0"/>
        <v>#VALUE!</v>
      </c>
    </row>
    <row r="11" spans="1:6" hidden="1">
      <c r="A11" s="39">
        <v>42456</v>
      </c>
      <c r="B11" s="40">
        <v>6251.3</v>
      </c>
      <c r="C11" s="36">
        <v>10564.5</v>
      </c>
      <c r="D11" s="36"/>
      <c r="E11" s="41">
        <v>0.72220875493794701</v>
      </c>
      <c r="F11" s="42" t="e">
        <f t="shared" si="0"/>
        <v>#VALUE!</v>
      </c>
    </row>
    <row r="12" spans="1:6" hidden="1">
      <c r="A12" s="39">
        <v>42457</v>
      </c>
      <c r="B12" s="40">
        <v>6555.3</v>
      </c>
      <c r="C12" s="36">
        <v>11260.4</v>
      </c>
      <c r="D12" s="36"/>
      <c r="E12" s="41">
        <v>0.73408337561007897</v>
      </c>
      <c r="F12" s="42" t="e">
        <f t="shared" si="0"/>
        <v>#VALUE!</v>
      </c>
    </row>
    <row r="13" spans="1:6" hidden="1">
      <c r="A13" s="39">
        <v>42458</v>
      </c>
      <c r="B13" s="40">
        <v>6090.3</v>
      </c>
      <c r="C13" s="36">
        <v>10210.6</v>
      </c>
      <c r="D13" s="36"/>
      <c r="E13" s="41">
        <v>0.71646787079524399</v>
      </c>
      <c r="F13" s="42" t="e">
        <f t="shared" si="0"/>
        <v>#VALUE!</v>
      </c>
    </row>
    <row r="14" spans="1:6" hidden="1">
      <c r="A14" s="39">
        <v>42459</v>
      </c>
      <c r="B14" s="40">
        <v>5950.2</v>
      </c>
      <c r="C14" s="36">
        <v>10057.200000000001</v>
      </c>
      <c r="D14" s="36"/>
      <c r="E14" s="41">
        <v>0.72232004267902306</v>
      </c>
      <c r="F14" s="42" t="e">
        <f t="shared" si="0"/>
        <v>#VALUE!</v>
      </c>
    </row>
    <row r="15" spans="1:6" hidden="1">
      <c r="A15" s="39">
        <v>42460</v>
      </c>
      <c r="B15" s="40">
        <v>5372.9</v>
      </c>
      <c r="C15" s="36">
        <v>9176.1</v>
      </c>
      <c r="D15" s="36"/>
      <c r="E15" s="41">
        <v>0.72984984950590104</v>
      </c>
      <c r="F15" s="42" t="e">
        <f t="shared" si="0"/>
        <v>#VALUE!</v>
      </c>
    </row>
    <row r="16" spans="1:6" hidden="1">
      <c r="A16" s="39">
        <v>42461</v>
      </c>
      <c r="B16" s="40">
        <v>0</v>
      </c>
      <c r="C16" s="43">
        <v>0</v>
      </c>
      <c r="D16" s="43"/>
      <c r="E16" s="44" t="e">
        <v>#VALUE!</v>
      </c>
      <c r="F16" s="42" t="e">
        <f t="shared" si="0"/>
        <v>#VALUE!</v>
      </c>
    </row>
    <row r="17" spans="1:6" hidden="1">
      <c r="A17" s="39">
        <v>42462</v>
      </c>
      <c r="B17" s="40">
        <v>0</v>
      </c>
      <c r="C17" s="43">
        <v>0</v>
      </c>
      <c r="D17" s="43"/>
      <c r="E17" s="44" t="e">
        <v>#VALUE!</v>
      </c>
      <c r="F17" s="42" t="e">
        <f t="shared" si="0"/>
        <v>#VALUE!</v>
      </c>
    </row>
    <row r="18" spans="1:6" hidden="1">
      <c r="A18" s="39">
        <v>42463</v>
      </c>
      <c r="B18" s="40">
        <v>0</v>
      </c>
      <c r="C18" s="43">
        <v>0</v>
      </c>
      <c r="D18" s="43"/>
      <c r="E18" s="44" t="e">
        <v>#VALUE!</v>
      </c>
      <c r="F18" s="42" t="e">
        <f t="shared" si="0"/>
        <v>#VALUE!</v>
      </c>
    </row>
    <row r="19" spans="1:6" hidden="1">
      <c r="A19" s="39">
        <v>42464</v>
      </c>
      <c r="B19" s="40">
        <v>0</v>
      </c>
      <c r="C19" s="43">
        <v>0</v>
      </c>
      <c r="D19" s="43"/>
      <c r="E19" s="44" t="e">
        <v>#VALUE!</v>
      </c>
      <c r="F19" s="42" t="e">
        <f t="shared" si="0"/>
        <v>#VALUE!</v>
      </c>
    </row>
    <row r="20" spans="1:6" hidden="1">
      <c r="A20" s="39">
        <v>42465</v>
      </c>
      <c r="B20" s="40">
        <v>6092.89</v>
      </c>
      <c r="C20" s="43">
        <v>5501.4</v>
      </c>
      <c r="D20" s="43"/>
      <c r="E20" s="44">
        <v>0.77905200501517802</v>
      </c>
      <c r="F20" s="42" t="e">
        <f t="shared" si="0"/>
        <v>#VALUE!</v>
      </c>
    </row>
    <row r="21" spans="1:6" hidden="1">
      <c r="A21" s="39">
        <v>42466</v>
      </c>
      <c r="B21" s="40">
        <v>0</v>
      </c>
      <c r="C21" s="43">
        <v>0</v>
      </c>
      <c r="D21" s="43"/>
      <c r="E21" s="44" t="e">
        <v>#VALUE!</v>
      </c>
      <c r="F21" s="42" t="e">
        <f t="shared" si="0"/>
        <v>#VALUE!</v>
      </c>
    </row>
    <row r="22" spans="1:6" hidden="1">
      <c r="A22" s="39">
        <v>42467</v>
      </c>
      <c r="B22" s="40">
        <v>0</v>
      </c>
      <c r="C22" s="43">
        <v>0</v>
      </c>
      <c r="D22" s="43"/>
      <c r="E22" s="44" t="e">
        <v>#VALUE!</v>
      </c>
      <c r="F22" s="42" t="e">
        <f t="shared" si="0"/>
        <v>#VALUE!</v>
      </c>
    </row>
    <row r="23" spans="1:6" hidden="1">
      <c r="A23" s="39">
        <v>42468</v>
      </c>
      <c r="B23" s="40">
        <v>0</v>
      </c>
      <c r="C23" s="43">
        <v>0</v>
      </c>
      <c r="D23" s="43"/>
      <c r="E23" s="44" t="e">
        <v>#VALUE!</v>
      </c>
      <c r="F23" s="42" t="e">
        <f t="shared" si="0"/>
        <v>#VALUE!</v>
      </c>
    </row>
    <row r="24" spans="1:6" hidden="1">
      <c r="A24" s="39">
        <v>42469</v>
      </c>
      <c r="B24" s="40">
        <v>0</v>
      </c>
      <c r="C24" s="43">
        <v>0</v>
      </c>
      <c r="D24" s="43"/>
      <c r="E24" s="44" t="e">
        <v>#VALUE!</v>
      </c>
      <c r="F24" s="42" t="e">
        <f t="shared" si="0"/>
        <v>#VALUE!</v>
      </c>
    </row>
    <row r="25" spans="1:6" hidden="1">
      <c r="A25" s="39">
        <v>42470</v>
      </c>
      <c r="B25" s="40">
        <v>0</v>
      </c>
      <c r="C25" s="43">
        <v>0</v>
      </c>
      <c r="D25" s="43"/>
      <c r="E25" s="44" t="e">
        <v>#VALUE!</v>
      </c>
      <c r="F25" s="42" t="e">
        <f t="shared" si="0"/>
        <v>#VALUE!</v>
      </c>
    </row>
    <row r="26" spans="1:6" hidden="1">
      <c r="A26" s="39">
        <v>42471</v>
      </c>
      <c r="B26" s="40">
        <v>0</v>
      </c>
      <c r="C26" s="43">
        <v>0</v>
      </c>
      <c r="D26" s="43"/>
      <c r="E26" s="44" t="e">
        <v>#VALUE!</v>
      </c>
      <c r="F26" s="42" t="e">
        <f t="shared" si="0"/>
        <v>#VALUE!</v>
      </c>
    </row>
    <row r="27" spans="1:6" hidden="1">
      <c r="A27" s="39">
        <v>42472</v>
      </c>
      <c r="B27" s="40">
        <v>0</v>
      </c>
      <c r="C27" s="43">
        <v>0</v>
      </c>
      <c r="D27" s="43"/>
      <c r="E27" s="44" t="e">
        <v>#VALUE!</v>
      </c>
      <c r="F27" s="42" t="e">
        <f t="shared" si="0"/>
        <v>#VALUE!</v>
      </c>
    </row>
    <row r="28" spans="1:6" hidden="1">
      <c r="A28" s="39">
        <v>42473</v>
      </c>
      <c r="B28" s="40">
        <v>0</v>
      </c>
      <c r="C28" s="43">
        <v>0</v>
      </c>
      <c r="D28" s="43"/>
      <c r="E28" s="44" t="e">
        <v>#VALUE!</v>
      </c>
      <c r="F28" s="42" t="e">
        <f t="shared" si="0"/>
        <v>#VALUE!</v>
      </c>
    </row>
    <row r="29" spans="1:6" hidden="1">
      <c r="A29" s="39">
        <v>42474</v>
      </c>
      <c r="B29" s="40">
        <v>0</v>
      </c>
      <c r="C29" s="43">
        <v>0</v>
      </c>
      <c r="D29" s="43"/>
      <c r="E29" s="44" t="e">
        <v>#VALUE!</v>
      </c>
      <c r="F29" s="42" t="e">
        <f t="shared" si="0"/>
        <v>#VALUE!</v>
      </c>
    </row>
    <row r="30" spans="1:6" hidden="1">
      <c r="A30" s="39">
        <v>42475</v>
      </c>
      <c r="B30" s="40">
        <v>0</v>
      </c>
      <c r="C30" s="43">
        <v>0</v>
      </c>
      <c r="D30" s="43"/>
      <c r="E30" s="44" t="e">
        <v>#VALUE!</v>
      </c>
      <c r="F30" s="42" t="e">
        <f t="shared" si="0"/>
        <v>#VALUE!</v>
      </c>
    </row>
    <row r="31" spans="1:6" hidden="1">
      <c r="A31" s="39">
        <v>42476</v>
      </c>
      <c r="B31" s="40">
        <v>6559.1</v>
      </c>
      <c r="C31" s="43">
        <v>10989.1</v>
      </c>
      <c r="D31" s="43"/>
      <c r="E31" s="44">
        <v>0.71598185440023498</v>
      </c>
      <c r="F31" s="42" t="e">
        <f t="shared" si="0"/>
        <v>#VALUE!</v>
      </c>
    </row>
    <row r="32" spans="1:6" hidden="1">
      <c r="A32" s="39">
        <v>42477</v>
      </c>
      <c r="B32" s="40">
        <v>576.29999999999995</v>
      </c>
      <c r="C32" s="43">
        <v>971.2</v>
      </c>
      <c r="D32" s="43"/>
      <c r="E32" s="44">
        <v>0.72018520743143299</v>
      </c>
      <c r="F32" s="42" t="e">
        <f t="shared" si="0"/>
        <v>#VALUE!</v>
      </c>
    </row>
    <row r="33" spans="1:6" hidden="1">
      <c r="A33" s="39">
        <v>42478</v>
      </c>
      <c r="B33" s="40">
        <v>4880.1000000000004</v>
      </c>
      <c r="C33" s="43">
        <v>8333</v>
      </c>
      <c r="D33" s="43"/>
      <c r="E33" s="44">
        <v>0.72972093012665995</v>
      </c>
      <c r="F33" s="42" t="e">
        <f t="shared" si="0"/>
        <v>#VALUE!</v>
      </c>
    </row>
    <row r="34" spans="1:6" hidden="1">
      <c r="A34" s="39">
        <v>42479</v>
      </c>
      <c r="B34" s="40">
        <v>7147</v>
      </c>
      <c r="C34" s="43">
        <v>12124.5</v>
      </c>
      <c r="D34" s="43"/>
      <c r="E34" s="44">
        <v>0.72497694926686096</v>
      </c>
      <c r="F34" s="42" t="e">
        <f t="shared" si="0"/>
        <v>#VALUE!</v>
      </c>
    </row>
    <row r="35" spans="1:6" ht="15.75">
      <c r="A35" s="45">
        <f>'AUG - 2026 month generation'!A14</f>
        <v>46245</v>
      </c>
      <c r="B35" s="46">
        <f>'AUG - 2026 month generation'!D4</f>
        <v>0</v>
      </c>
      <c r="C35" s="47">
        <f>'AUG - 2026 month generation'!G4</f>
        <v>0</v>
      </c>
      <c r="D35" s="48">
        <v>0.78</v>
      </c>
      <c r="E35" s="49" t="e">
        <f>'AUG - 2026 month generation'!J4</f>
        <v>#DIV/0!</v>
      </c>
      <c r="F35" s="50">
        <f>C35/2900</f>
        <v>0</v>
      </c>
    </row>
    <row r="36" spans="1:6" ht="15.75">
      <c r="A36" s="45">
        <f>'AUG - 2026 month generation'!A5</f>
        <v>46236</v>
      </c>
      <c r="B36" s="46">
        <f>'AUG - 2026 month generation'!D5</f>
        <v>0</v>
      </c>
      <c r="C36" s="47">
        <f>'AUG - 2026 month generation'!G5</f>
        <v>0</v>
      </c>
      <c r="D36" s="48">
        <v>0.78</v>
      </c>
      <c r="E36" s="49" t="e">
        <f>'AUG - 2026 month generation'!J5</f>
        <v>#DIV/0!</v>
      </c>
      <c r="F36" s="50">
        <f t="shared" ref="F36:F66" si="1">C36/2900</f>
        <v>0</v>
      </c>
    </row>
    <row r="37" spans="1:6" ht="15.75">
      <c r="A37" s="45">
        <f>'AUG - 2026 month generation'!A6</f>
        <v>46237</v>
      </c>
      <c r="B37" s="46">
        <f>'AUG - 2026 month generation'!D6</f>
        <v>0</v>
      </c>
      <c r="C37" s="47">
        <f>'AUG - 2026 month generation'!G6</f>
        <v>0</v>
      </c>
      <c r="D37" s="48">
        <v>0.78</v>
      </c>
      <c r="E37" s="49" t="e">
        <f>'AUG - 2026 month generation'!J6</f>
        <v>#DIV/0!</v>
      </c>
      <c r="F37" s="50">
        <f t="shared" si="1"/>
        <v>0</v>
      </c>
    </row>
    <row r="38" spans="1:6" ht="15.75">
      <c r="A38" s="45">
        <f>'AUG - 2026 month generation'!A7</f>
        <v>46238</v>
      </c>
      <c r="B38" s="46">
        <f>'AUG - 2026 month generation'!D7</f>
        <v>4467</v>
      </c>
      <c r="C38" s="47">
        <f>'AUG - 2026 month generation'!G7</f>
        <v>3118</v>
      </c>
      <c r="D38" s="48">
        <v>0.78</v>
      </c>
      <c r="E38" s="49">
        <f>'AUG - 2026 month generation'!J7</f>
        <v>0.69800761137228562</v>
      </c>
      <c r="F38" s="50">
        <f t="shared" si="1"/>
        <v>1.0751724137931034</v>
      </c>
    </row>
    <row r="39" spans="1:6" ht="15.75">
      <c r="A39" s="45">
        <f>'AUG - 2026 month generation'!A8</f>
        <v>46239</v>
      </c>
      <c r="B39" s="46">
        <f>'AUG - 2026 month generation'!D8</f>
        <v>0</v>
      </c>
      <c r="C39" s="47">
        <f>'AUG - 2026 month generation'!G8</f>
        <v>0</v>
      </c>
      <c r="D39" s="48">
        <v>0.78</v>
      </c>
      <c r="E39" s="49" t="e">
        <f>'AUG - 2026 month generation'!J8</f>
        <v>#DIV/0!</v>
      </c>
      <c r="F39" s="50">
        <f t="shared" si="1"/>
        <v>0</v>
      </c>
    </row>
    <row r="40" spans="1:6" ht="15.75">
      <c r="A40" s="45">
        <f>'AUG - 2026 month generation'!A9</f>
        <v>46240</v>
      </c>
      <c r="B40" s="46">
        <f>'AUG - 2026 month generation'!D9</f>
        <v>0</v>
      </c>
      <c r="C40" s="47">
        <f>'AUG - 2026 month generation'!G9</f>
        <v>0</v>
      </c>
      <c r="D40" s="48">
        <v>0.78</v>
      </c>
      <c r="E40" s="49" t="e">
        <f>'AUG - 2026 month generation'!J9</f>
        <v>#DIV/0!</v>
      </c>
      <c r="F40" s="50">
        <f t="shared" si="1"/>
        <v>0</v>
      </c>
    </row>
    <row r="41" spans="1:6" ht="15.75">
      <c r="A41" s="45">
        <f>'AUG - 2026 month generation'!A10</f>
        <v>46241</v>
      </c>
      <c r="B41" s="46">
        <f>'AUG - 2026 month generation'!D10</f>
        <v>0</v>
      </c>
      <c r="C41" s="47">
        <f>'AUG - 2026 month generation'!G10</f>
        <v>0</v>
      </c>
      <c r="D41" s="48">
        <v>0.78</v>
      </c>
      <c r="E41" s="49" t="e">
        <f>'AUG - 2026 month generation'!J10</f>
        <v>#DIV/0!</v>
      </c>
      <c r="F41" s="50">
        <f t="shared" si="1"/>
        <v>0</v>
      </c>
    </row>
    <row r="42" spans="1:6" ht="15.75">
      <c r="A42" s="45">
        <f>'AUG - 2026 month generation'!A11</f>
        <v>46242</v>
      </c>
      <c r="B42" s="46">
        <f>'AUG - 2026 month generation'!D11</f>
        <v>0</v>
      </c>
      <c r="C42" s="47">
        <f>'AUG - 2026 month generation'!G11</f>
        <v>0</v>
      </c>
      <c r="D42" s="48">
        <v>0.78</v>
      </c>
      <c r="E42" s="49" t="e">
        <f>'AUG - 2026 month generation'!J11</f>
        <v>#DIV/0!</v>
      </c>
      <c r="F42" s="50">
        <f t="shared" si="1"/>
        <v>0</v>
      </c>
    </row>
    <row r="43" spans="1:6" ht="15.75">
      <c r="A43" s="45">
        <f>'AUG - 2026 month generation'!A12</f>
        <v>46243</v>
      </c>
      <c r="B43" s="46">
        <f>'AUG - 2026 month generation'!D12</f>
        <v>0</v>
      </c>
      <c r="C43" s="47">
        <f>'AUG - 2026 month generation'!G12</f>
        <v>0</v>
      </c>
      <c r="D43" s="48">
        <v>0.78</v>
      </c>
      <c r="E43" s="49" t="e">
        <f>'AUG - 2026 month generation'!J12</f>
        <v>#DIV/0!</v>
      </c>
      <c r="F43" s="50">
        <f t="shared" si="1"/>
        <v>0</v>
      </c>
    </row>
    <row r="44" spans="1:6" ht="15.75">
      <c r="A44" s="45">
        <f>'AUG - 2026 month generation'!A13</f>
        <v>46244</v>
      </c>
      <c r="B44" s="46">
        <f>'AUG - 2026 month generation'!D13</f>
        <v>0</v>
      </c>
      <c r="C44" s="47">
        <f>'AUG - 2026 month generation'!G13</f>
        <v>0</v>
      </c>
      <c r="D44" s="48">
        <v>0.78</v>
      </c>
      <c r="E44" s="49" t="e">
        <f>'AUG - 2026 month generation'!J13</f>
        <v>#DIV/0!</v>
      </c>
      <c r="F44" s="50">
        <f t="shared" si="1"/>
        <v>0</v>
      </c>
    </row>
    <row r="45" spans="1:6" ht="18" customHeight="1">
      <c r="A45" s="45" t="e">
        <f>'AUG - 2026 month generation'!#REF!</f>
        <v>#REF!</v>
      </c>
      <c r="B45" s="46">
        <f>'AUG - 2026 month generation'!D14</f>
        <v>0</v>
      </c>
      <c r="C45" s="47">
        <f>'AUG - 2026 month generation'!G14</f>
        <v>0</v>
      </c>
      <c r="D45" s="48">
        <v>0.78</v>
      </c>
      <c r="E45" s="49" t="e">
        <f>'AUG - 2026 month generation'!J14</f>
        <v>#DIV/0!</v>
      </c>
      <c r="F45" s="50">
        <f t="shared" si="1"/>
        <v>0</v>
      </c>
    </row>
    <row r="46" spans="1:6" ht="15.75">
      <c r="A46" s="45">
        <f>'AUG - 2026 month generation'!A15</f>
        <v>46246</v>
      </c>
      <c r="B46" s="46">
        <f>'AUG - 2026 month generation'!D15</f>
        <v>0</v>
      </c>
      <c r="C46" s="47">
        <f>'AUG - 2026 month generation'!G15</f>
        <v>0</v>
      </c>
      <c r="D46" s="48">
        <v>0.78</v>
      </c>
      <c r="E46" s="49" t="e">
        <f>'AUG - 2026 month generation'!J15</f>
        <v>#DIV/0!</v>
      </c>
      <c r="F46" s="50">
        <f t="shared" si="1"/>
        <v>0</v>
      </c>
    </row>
    <row r="47" spans="1:6" ht="18" customHeight="1">
      <c r="A47" s="45">
        <f>'AUG - 2026 month generation'!A16</f>
        <v>46247</v>
      </c>
      <c r="B47" s="46">
        <f>'AUG - 2026 month generation'!D16</f>
        <v>0</v>
      </c>
      <c r="C47" s="47">
        <f>'AUG - 2026 month generation'!G16</f>
        <v>0</v>
      </c>
      <c r="D47" s="48">
        <v>0.78</v>
      </c>
      <c r="E47" s="49" t="e">
        <f>'AUG - 2026 month generation'!J16</f>
        <v>#DIV/0!</v>
      </c>
      <c r="F47" s="50">
        <f t="shared" si="1"/>
        <v>0</v>
      </c>
    </row>
    <row r="48" spans="1:6" ht="15.75">
      <c r="A48" s="45">
        <f>'AUG - 2026 month generation'!A17</f>
        <v>46248</v>
      </c>
      <c r="B48" s="46">
        <f>'AUG - 2026 month generation'!D17</f>
        <v>0</v>
      </c>
      <c r="C48" s="47">
        <f>'AUG - 2026 month generation'!G17</f>
        <v>0</v>
      </c>
      <c r="D48" s="48">
        <v>0.78</v>
      </c>
      <c r="E48" s="49" t="e">
        <f>'AUG - 2026 month generation'!J17</f>
        <v>#DIV/0!</v>
      </c>
      <c r="F48" s="50">
        <f t="shared" si="1"/>
        <v>0</v>
      </c>
    </row>
    <row r="49" spans="1:6" ht="15.75">
      <c r="A49" s="45">
        <f>'AUG - 2026 month generation'!A18</f>
        <v>46249</v>
      </c>
      <c r="B49" s="46">
        <f>'AUG - 2026 month generation'!D18</f>
        <v>4713</v>
      </c>
      <c r="C49" s="47">
        <f>'AUG - 2026 month generation'!G18</f>
        <v>3197</v>
      </c>
      <c r="D49" s="48">
        <v>0.78</v>
      </c>
      <c r="E49" s="49">
        <f>'AUG - 2026 month generation'!J18</f>
        <v>0.6804143487435258</v>
      </c>
      <c r="F49" s="50">
        <f t="shared" si="1"/>
        <v>1.1024137931034483</v>
      </c>
    </row>
    <row r="50" spans="1:6" ht="15.75">
      <c r="A50" s="45">
        <f>'AUG - 2026 month generation'!A19</f>
        <v>46250</v>
      </c>
      <c r="B50" s="46">
        <f>'AUG - 2026 month generation'!D19</f>
        <v>0</v>
      </c>
      <c r="C50" s="47">
        <f>'AUG - 2026 month generation'!G19</f>
        <v>0</v>
      </c>
      <c r="D50" s="48">
        <v>0.78</v>
      </c>
      <c r="E50" s="49" t="e">
        <f>'AUG - 2026 month generation'!J19</f>
        <v>#DIV/0!</v>
      </c>
      <c r="F50" s="50">
        <f t="shared" si="1"/>
        <v>0</v>
      </c>
    </row>
    <row r="51" spans="1:6" ht="15.75">
      <c r="A51" s="45">
        <f>'AUG - 2026 month generation'!A20</f>
        <v>46251</v>
      </c>
      <c r="B51" s="46">
        <f>'AUG - 2026 month generation'!D20</f>
        <v>0</v>
      </c>
      <c r="C51" s="47">
        <f>'AUG - 2026 month generation'!G20</f>
        <v>0</v>
      </c>
      <c r="D51" s="48">
        <v>0.78</v>
      </c>
      <c r="E51" s="49" t="e">
        <f>'AUG - 2026 month generation'!J20</f>
        <v>#DIV/0!</v>
      </c>
      <c r="F51" s="50">
        <f t="shared" si="1"/>
        <v>0</v>
      </c>
    </row>
    <row r="52" spans="1:6" ht="15.75">
      <c r="A52" s="45">
        <f>'AUG - 2026 month generation'!A21</f>
        <v>46252</v>
      </c>
      <c r="B52" s="46">
        <f>'AUG - 2026 month generation'!D21</f>
        <v>4700</v>
      </c>
      <c r="C52" s="47">
        <f>'AUG - 2026 month generation'!G21</f>
        <v>3715</v>
      </c>
      <c r="D52" s="48">
        <v>0.78</v>
      </c>
      <c r="E52" s="49">
        <f>'AUG - 2026 month generation'!J21</f>
        <v>0.76203703703703707</v>
      </c>
      <c r="F52" s="50">
        <f t="shared" si="1"/>
        <v>1.2810344827586206</v>
      </c>
    </row>
    <row r="53" spans="1:6" ht="15.75">
      <c r="A53" s="45">
        <f>'AUG - 2026 month generation'!A22</f>
        <v>46253</v>
      </c>
      <c r="B53" s="46">
        <f>'AUG - 2026 month generation'!D22</f>
        <v>0</v>
      </c>
      <c r="C53" s="47">
        <f>'AUG - 2026 month generation'!G22</f>
        <v>0</v>
      </c>
      <c r="D53" s="48">
        <v>0.78</v>
      </c>
      <c r="E53" s="49" t="e">
        <f>'AUG - 2026 month generation'!J22</f>
        <v>#DIV/0!</v>
      </c>
      <c r="F53" s="50">
        <f t="shared" si="1"/>
        <v>0</v>
      </c>
    </row>
    <row r="54" spans="1:6" ht="15.75">
      <c r="A54" s="45">
        <f>'AUG - 2026 month generation'!A23</f>
        <v>46254</v>
      </c>
      <c r="B54" s="46">
        <f>'AUG - 2026 month generation'!D23</f>
        <v>0</v>
      </c>
      <c r="C54" s="47">
        <f>'AUG - 2026 month generation'!G23</f>
        <v>0</v>
      </c>
      <c r="D54" s="48">
        <v>0.78</v>
      </c>
      <c r="E54" s="49" t="e">
        <f>'AUG - 2026 month generation'!J23</f>
        <v>#DIV/0!</v>
      </c>
      <c r="F54" s="50">
        <f t="shared" si="1"/>
        <v>0</v>
      </c>
    </row>
    <row r="55" spans="1:6" ht="15.75">
      <c r="A55" s="45">
        <f>'AUG - 2026 month generation'!A24</f>
        <v>46255</v>
      </c>
      <c r="B55" s="46">
        <f>'AUG - 2026 month generation'!D24</f>
        <v>0</v>
      </c>
      <c r="C55" s="47">
        <f>'AUG - 2026 month generation'!G24</f>
        <v>0</v>
      </c>
      <c r="D55" s="48">
        <v>0.78</v>
      </c>
      <c r="E55" s="49" t="e">
        <f>'AUG - 2026 month generation'!J24</f>
        <v>#DIV/0!</v>
      </c>
      <c r="F55" s="50">
        <f t="shared" si="1"/>
        <v>0</v>
      </c>
    </row>
    <row r="56" spans="1:6" ht="15.75">
      <c r="A56" s="45">
        <f>'AUG - 2026 month generation'!A25</f>
        <v>46256</v>
      </c>
      <c r="B56" s="46">
        <f>'AUG - 2026 month generation'!D25</f>
        <v>0</v>
      </c>
      <c r="C56" s="47">
        <f>'AUG - 2026 month generation'!G25</f>
        <v>0</v>
      </c>
      <c r="D56" s="48">
        <v>0.78</v>
      </c>
      <c r="E56" s="49" t="e">
        <f>'AUG - 2026 month generation'!J25</f>
        <v>#DIV/0!</v>
      </c>
      <c r="F56" s="50">
        <f t="shared" si="1"/>
        <v>0</v>
      </c>
    </row>
    <row r="57" spans="1:6" ht="15.75">
      <c r="A57" s="45">
        <f>'AUG - 2026 month generation'!A26</f>
        <v>46257</v>
      </c>
      <c r="B57" s="46">
        <f>'AUG - 2026 month generation'!D26</f>
        <v>0</v>
      </c>
      <c r="C57" s="47">
        <f>'AUG - 2026 month generation'!G26</f>
        <v>0</v>
      </c>
      <c r="D57" s="48">
        <v>0.78</v>
      </c>
      <c r="E57" s="49" t="e">
        <f>'AUG - 2026 month generation'!J26</f>
        <v>#DIV/0!</v>
      </c>
      <c r="F57" s="50">
        <f t="shared" si="1"/>
        <v>0</v>
      </c>
    </row>
    <row r="58" spans="1:6" ht="15.75">
      <c r="A58" s="45">
        <f>'AUG - 2026 month generation'!A27</f>
        <v>46258</v>
      </c>
      <c r="B58" s="46">
        <f>'AUG - 2026 month generation'!D27</f>
        <v>0</v>
      </c>
      <c r="C58" s="47">
        <f>'AUG - 2026 month generation'!G27</f>
        <v>0</v>
      </c>
      <c r="D58" s="48">
        <v>0.78</v>
      </c>
      <c r="E58" s="49" t="e">
        <f>'AUG - 2026 month generation'!J27</f>
        <v>#DIV/0!</v>
      </c>
      <c r="F58" s="50">
        <f t="shared" si="1"/>
        <v>0</v>
      </c>
    </row>
    <row r="59" spans="1:6" ht="15.75">
      <c r="A59" s="45">
        <f>'AUG - 2026 month generation'!A28</f>
        <v>46259</v>
      </c>
      <c r="B59" s="46">
        <f>'AUG - 2026 month generation'!D28</f>
        <v>0</v>
      </c>
      <c r="C59" s="47">
        <f>'AUG - 2026 month generation'!G28</f>
        <v>0</v>
      </c>
      <c r="D59" s="48">
        <v>0.78</v>
      </c>
      <c r="E59" s="49" t="e">
        <f>'AUG - 2026 month generation'!J28</f>
        <v>#DIV/0!</v>
      </c>
      <c r="F59" s="50">
        <f t="shared" si="1"/>
        <v>0</v>
      </c>
    </row>
    <row r="60" spans="1:6" ht="15.75">
      <c r="A60" s="45">
        <f>'AUG - 2026 month generation'!A29</f>
        <v>46260</v>
      </c>
      <c r="B60" s="46">
        <f>'AUG - 2026 month generation'!D29</f>
        <v>0</v>
      </c>
      <c r="C60" s="47">
        <f>'AUG - 2026 month generation'!G29</f>
        <v>0</v>
      </c>
      <c r="D60" s="48">
        <v>0.78</v>
      </c>
      <c r="E60" s="49" t="e">
        <f>'AUG - 2026 month generation'!J29</f>
        <v>#DIV/0!</v>
      </c>
      <c r="F60" s="50">
        <f t="shared" si="1"/>
        <v>0</v>
      </c>
    </row>
    <row r="61" spans="1:6" ht="15.75">
      <c r="A61" s="45">
        <f>'AUG - 2026 month generation'!A30</f>
        <v>46261</v>
      </c>
      <c r="B61" s="46">
        <f>'AUG - 2026 month generation'!D30</f>
        <v>0</v>
      </c>
      <c r="C61" s="47">
        <f>'AUG - 2026 month generation'!G30</f>
        <v>0</v>
      </c>
      <c r="D61" s="48">
        <v>0.78</v>
      </c>
      <c r="E61" s="49" t="e">
        <f>'AUG - 2026 month generation'!J30</f>
        <v>#DIV/0!</v>
      </c>
      <c r="F61" s="50">
        <f t="shared" si="1"/>
        <v>0</v>
      </c>
    </row>
    <row r="62" spans="1:6" ht="15.75">
      <c r="A62" s="45">
        <f>'AUG - 2026 month generation'!A31</f>
        <v>46262</v>
      </c>
      <c r="B62" s="46">
        <f>'AUG - 2026 month generation'!D31</f>
        <v>0</v>
      </c>
      <c r="C62" s="47">
        <f>'AUG - 2026 month generation'!G31</f>
        <v>0</v>
      </c>
      <c r="D62" s="48">
        <v>0.78</v>
      </c>
      <c r="E62" s="49" t="e">
        <f>'AUG - 2026 month generation'!J31</f>
        <v>#DIV/0!</v>
      </c>
      <c r="F62" s="50">
        <f t="shared" si="1"/>
        <v>0</v>
      </c>
    </row>
    <row r="63" spans="1:6" ht="15.75">
      <c r="A63" s="45">
        <f>'AUG - 2026 month generation'!A32</f>
        <v>46263</v>
      </c>
      <c r="B63" s="46">
        <f>'AUG - 2026 month generation'!D32</f>
        <v>0</v>
      </c>
      <c r="C63" s="47">
        <f>'AUG - 2026 month generation'!G32</f>
        <v>0</v>
      </c>
      <c r="D63" s="48">
        <v>0.78</v>
      </c>
      <c r="E63" s="49" t="e">
        <f>'AUG - 2026 month generation'!J32</f>
        <v>#DIV/0!</v>
      </c>
      <c r="F63" s="50">
        <f t="shared" si="1"/>
        <v>0</v>
      </c>
    </row>
    <row r="64" spans="1:6" ht="15.75">
      <c r="A64" s="45" t="e">
        <f>'AUG - 2026 month generation'!#REF!</f>
        <v>#REF!</v>
      </c>
      <c r="B64" s="46" t="e">
        <f>'AUG - 2026 month generation'!#REF!</f>
        <v>#REF!</v>
      </c>
      <c r="C64" s="47" t="e">
        <f>'AUG - 2026 month generation'!#REF!</f>
        <v>#REF!</v>
      </c>
      <c r="D64" s="48">
        <v>0.78</v>
      </c>
      <c r="E64" s="49" t="e">
        <f>'AUG - 2026 month generation'!#REF!</f>
        <v>#REF!</v>
      </c>
      <c r="F64" s="50" t="e">
        <f t="shared" si="1"/>
        <v>#REF!</v>
      </c>
    </row>
    <row r="65" spans="1:6" ht="14.25" customHeight="1">
      <c r="A65" s="45" t="e">
        <f>'AUG - 2026 month generation'!#REF!</f>
        <v>#REF!</v>
      </c>
      <c r="B65" s="46" t="e">
        <f>'AUG - 2026 month generation'!#REF!</f>
        <v>#REF!</v>
      </c>
      <c r="C65" s="47" t="e">
        <f>'AUG - 2026 month generation'!#REF!</f>
        <v>#REF!</v>
      </c>
      <c r="D65" s="48">
        <v>0.78</v>
      </c>
      <c r="E65" s="49" t="e">
        <f>'AUG - 2026 month generation'!#REF!</f>
        <v>#REF!</v>
      </c>
      <c r="F65" s="50" t="e">
        <f t="shared" si="1"/>
        <v>#REF!</v>
      </c>
    </row>
    <row r="66" spans="1:6" ht="15.75" hidden="1">
      <c r="A66" s="45"/>
      <c r="B66" s="46" t="e">
        <f>'AUG - 2026 month generation'!#REF!</f>
        <v>#REF!</v>
      </c>
      <c r="C66" s="47" t="e">
        <f>'AUG - 2026 month generation'!#REF!</f>
        <v>#REF!</v>
      </c>
      <c r="D66" s="48">
        <v>1.78</v>
      </c>
      <c r="E66" s="49" t="e">
        <f>'AUG - 2026 month generation'!#REF!</f>
        <v>#REF!</v>
      </c>
      <c r="F66" s="50" t="e">
        <f t="shared" si="1"/>
        <v>#REF!</v>
      </c>
    </row>
    <row r="67" spans="1:6" ht="15.75">
      <c r="A67" s="45"/>
      <c r="B67" s="46"/>
      <c r="C67" s="47"/>
      <c r="D67" s="48"/>
      <c r="E67" s="49"/>
      <c r="F67" s="50"/>
    </row>
  </sheetData>
  <mergeCells count="1">
    <mergeCell ref="B1:E1"/>
  </mergeCells>
  <pageMargins left="0.7" right="0.7" top="0.75" bottom="0.75" header="0.51180555555555496" footer="0.51180555555555496"/>
  <pageSetup firstPageNumber="0" orientation="portrait" useFirstPageNumber="1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2"/>
  <sheetViews>
    <sheetView zoomScale="96" zoomScaleNormal="85" workbookViewId="0">
      <pane xSplit="1" topLeftCell="P1" activePane="topRight" state="frozen"/>
      <selection pane="topRight" activeCell="T3" sqref="T3:T15"/>
    </sheetView>
  </sheetViews>
  <sheetFormatPr defaultColWidth="8.7109375" defaultRowHeight="15"/>
  <cols>
    <col min="1" max="1" width="26.5703125" customWidth="1"/>
    <col min="2" max="2" width="16.85546875" customWidth="1"/>
    <col min="3" max="3" width="9" customWidth="1"/>
    <col min="8" max="8" width="9"/>
    <col min="13" max="13" width="9"/>
    <col min="14" max="14" width="8.85546875" customWidth="1"/>
    <col min="15" max="15" width="9" customWidth="1"/>
    <col min="16" max="16" width="9"/>
    <col min="27" max="27" width="9"/>
    <col min="30" max="30" width="9"/>
    <col min="32" max="32" width="9.7109375" customWidth="1"/>
    <col min="33" max="33" width="10.28515625" customWidth="1"/>
  </cols>
  <sheetData>
    <row r="1" spans="1:33" ht="15.75">
      <c r="A1" s="21" t="s">
        <v>67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ht="15.75">
      <c r="A2" s="23" t="s">
        <v>35</v>
      </c>
      <c r="B2" s="9" t="s">
        <v>36</v>
      </c>
      <c r="C2" s="9">
        <v>46235</v>
      </c>
      <c r="D2" s="9">
        <v>46236</v>
      </c>
      <c r="E2" s="9">
        <v>46237</v>
      </c>
      <c r="F2" s="9">
        <v>46238</v>
      </c>
      <c r="G2" s="9">
        <v>46239</v>
      </c>
      <c r="H2" s="9">
        <v>46240</v>
      </c>
      <c r="I2" s="9">
        <v>46241</v>
      </c>
      <c r="J2" s="9">
        <v>46242</v>
      </c>
      <c r="K2" s="9">
        <v>46243</v>
      </c>
      <c r="L2" s="9">
        <v>46244</v>
      </c>
      <c r="M2" s="9">
        <v>46245</v>
      </c>
      <c r="N2" s="9">
        <v>46246</v>
      </c>
      <c r="O2" s="9">
        <v>46247</v>
      </c>
      <c r="P2" s="9">
        <v>46248</v>
      </c>
      <c r="Q2" s="9">
        <v>46249</v>
      </c>
      <c r="R2" s="9">
        <v>46250</v>
      </c>
      <c r="S2" s="9">
        <v>46251</v>
      </c>
      <c r="T2" s="9">
        <v>46252</v>
      </c>
      <c r="U2" s="9">
        <v>46253</v>
      </c>
      <c r="V2" s="9">
        <v>46254</v>
      </c>
      <c r="W2" s="9">
        <v>46255</v>
      </c>
      <c r="X2" s="9">
        <v>46256</v>
      </c>
      <c r="Y2" s="9">
        <v>46257</v>
      </c>
      <c r="Z2" s="9">
        <v>46258</v>
      </c>
      <c r="AA2" s="9">
        <v>46259</v>
      </c>
      <c r="AB2" s="9">
        <v>46260</v>
      </c>
      <c r="AC2" s="9">
        <v>46261</v>
      </c>
      <c r="AD2" s="9">
        <v>46262</v>
      </c>
      <c r="AE2" s="9">
        <v>46263</v>
      </c>
      <c r="AF2" s="9">
        <v>46264</v>
      </c>
      <c r="AG2" s="9">
        <v>46265</v>
      </c>
    </row>
    <row r="3" spans="1:33" ht="15.75">
      <c r="A3" s="24" t="s">
        <v>37</v>
      </c>
      <c r="B3" s="25">
        <v>127.53</v>
      </c>
      <c r="C3" s="25"/>
      <c r="D3" s="80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>
        <v>208</v>
      </c>
      <c r="Q3" s="25">
        <v>218</v>
      </c>
      <c r="R3" s="25"/>
      <c r="S3" s="25"/>
      <c r="T3" s="25">
        <v>178</v>
      </c>
      <c r="U3" s="28"/>
      <c r="V3" s="20"/>
      <c r="W3" s="25"/>
      <c r="X3" s="25"/>
      <c r="Y3" s="20"/>
      <c r="Z3" s="25"/>
      <c r="AA3" s="25"/>
      <c r="AB3" s="25"/>
      <c r="AC3" s="25"/>
      <c r="AD3" s="25"/>
      <c r="AE3" s="25"/>
      <c r="AF3" s="25"/>
      <c r="AG3" s="25"/>
    </row>
    <row r="4" spans="1:33" ht="15.75" customHeight="1">
      <c r="A4" s="24" t="s">
        <v>38</v>
      </c>
      <c r="B4" s="25">
        <v>127.53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>
        <v>248</v>
      </c>
      <c r="Q4" s="25">
        <v>248</v>
      </c>
      <c r="R4" s="25"/>
      <c r="S4" s="25"/>
      <c r="T4" s="25">
        <v>310</v>
      </c>
      <c r="U4" s="28"/>
      <c r="V4" s="20"/>
      <c r="W4" s="25"/>
      <c r="X4" s="25"/>
      <c r="Y4" s="20"/>
      <c r="Z4" s="25"/>
      <c r="AA4" s="25"/>
      <c r="AB4" s="25"/>
      <c r="AC4" s="25"/>
      <c r="AD4" s="25"/>
      <c r="AE4" s="25"/>
      <c r="AF4" s="25"/>
      <c r="AG4" s="25"/>
    </row>
    <row r="5" spans="1:33" ht="15.75">
      <c r="A5" s="24" t="s">
        <v>39</v>
      </c>
      <c r="B5" s="25">
        <v>127.53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>
        <v>243</v>
      </c>
      <c r="Q5" s="25">
        <v>256</v>
      </c>
      <c r="R5" s="25"/>
      <c r="S5" s="25"/>
      <c r="T5" s="25">
        <v>300</v>
      </c>
      <c r="U5" s="28"/>
      <c r="V5" s="20"/>
      <c r="W5" s="25"/>
      <c r="X5" s="25"/>
      <c r="Y5" s="20"/>
      <c r="Z5" s="25"/>
      <c r="AA5" s="25"/>
      <c r="AB5" s="25"/>
      <c r="AC5" s="25"/>
      <c r="AD5" s="25"/>
      <c r="AE5" s="25"/>
      <c r="AF5" s="25"/>
      <c r="AG5" s="25"/>
    </row>
    <row r="6" spans="1:33" ht="15.75">
      <c r="A6" s="24" t="s">
        <v>40</v>
      </c>
      <c r="B6" s="25">
        <v>127.53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>
        <v>213</v>
      </c>
      <c r="Q6" s="25">
        <v>235</v>
      </c>
      <c r="R6" s="25"/>
      <c r="S6" s="25"/>
      <c r="T6" s="28">
        <v>275</v>
      </c>
      <c r="U6" s="28"/>
      <c r="V6" s="20"/>
      <c r="W6" s="25"/>
      <c r="X6" s="25"/>
      <c r="Y6" s="20"/>
      <c r="Z6" s="25"/>
      <c r="AA6" s="25"/>
      <c r="AB6" s="25"/>
      <c r="AC6" s="25"/>
      <c r="AD6" s="25"/>
      <c r="AE6" s="25"/>
      <c r="AF6" s="25"/>
      <c r="AG6" s="25"/>
    </row>
    <row r="7" spans="1:33" ht="15.75">
      <c r="A7" s="24" t="s">
        <v>41</v>
      </c>
      <c r="B7" s="25">
        <v>127.53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>
        <v>251</v>
      </c>
      <c r="Q7" s="25">
        <v>257</v>
      </c>
      <c r="R7" s="25"/>
      <c r="S7" s="25"/>
      <c r="T7" s="28">
        <v>311</v>
      </c>
      <c r="U7" s="28"/>
      <c r="V7" s="20"/>
      <c r="W7" s="25"/>
      <c r="X7" s="25"/>
      <c r="Y7" s="20"/>
      <c r="Z7" s="25"/>
      <c r="AA7" s="25"/>
      <c r="AB7" s="25"/>
      <c r="AC7" s="25"/>
      <c r="AD7" s="25"/>
      <c r="AE7" s="25"/>
      <c r="AF7" s="25"/>
      <c r="AG7" s="25"/>
    </row>
    <row r="8" spans="1:33" ht="15.75">
      <c r="A8" s="24" t="s">
        <v>42</v>
      </c>
      <c r="B8" s="25">
        <v>127.53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>
        <v>237</v>
      </c>
      <c r="Q8" s="25">
        <v>244</v>
      </c>
      <c r="R8" s="25"/>
      <c r="S8" s="25"/>
      <c r="T8" s="25">
        <v>289</v>
      </c>
      <c r="U8" s="28"/>
      <c r="V8" s="20"/>
      <c r="W8" s="25"/>
      <c r="X8" s="25"/>
      <c r="Y8" s="20"/>
      <c r="Z8" s="25"/>
      <c r="AA8" s="25"/>
      <c r="AB8" s="25"/>
      <c r="AC8" s="25"/>
      <c r="AD8" s="25"/>
      <c r="AE8" s="25"/>
      <c r="AF8" s="25"/>
      <c r="AG8" s="25"/>
    </row>
    <row r="9" spans="1:33" ht="15.75">
      <c r="A9" s="24" t="s">
        <v>43</v>
      </c>
      <c r="B9" s="25">
        <v>137.34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79">
        <v>255</v>
      </c>
      <c r="Q9" s="25">
        <v>260</v>
      </c>
      <c r="R9" s="25"/>
      <c r="S9" s="25"/>
      <c r="T9" s="25">
        <v>315</v>
      </c>
      <c r="U9" s="28"/>
      <c r="V9" s="20"/>
      <c r="W9" s="25"/>
      <c r="X9" s="25"/>
      <c r="Y9" s="20"/>
      <c r="Z9" s="25"/>
      <c r="AA9" s="25"/>
      <c r="AB9" s="25"/>
      <c r="AC9" s="25"/>
      <c r="AD9" s="25"/>
      <c r="AE9" s="25"/>
      <c r="AF9" s="25"/>
      <c r="AG9" s="25"/>
    </row>
    <row r="10" spans="1:33" ht="15.75">
      <c r="A10" s="24" t="s">
        <v>44</v>
      </c>
      <c r="B10" s="25">
        <v>137.34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>
        <v>231</v>
      </c>
      <c r="Q10" s="25">
        <v>236</v>
      </c>
      <c r="R10" s="25"/>
      <c r="S10" s="25"/>
      <c r="T10" s="25">
        <v>240</v>
      </c>
      <c r="U10" s="28"/>
      <c r="V10" s="20"/>
      <c r="W10" s="25"/>
      <c r="X10" s="25"/>
      <c r="Y10" s="20"/>
      <c r="Z10" s="25"/>
      <c r="AA10" s="25"/>
      <c r="AB10" s="25"/>
      <c r="AC10" s="25"/>
      <c r="AD10" s="25"/>
      <c r="AE10" s="25"/>
      <c r="AF10" s="25"/>
      <c r="AG10" s="25"/>
    </row>
    <row r="11" spans="1:33" ht="15.75">
      <c r="A11" s="24" t="s">
        <v>45</v>
      </c>
      <c r="B11" s="25">
        <v>137.34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>
        <v>250</v>
      </c>
      <c r="Q11" s="25">
        <v>256</v>
      </c>
      <c r="R11" s="25"/>
      <c r="S11" s="25"/>
      <c r="T11" s="25">
        <v>305</v>
      </c>
      <c r="U11" s="28"/>
      <c r="V11" s="20"/>
      <c r="W11" s="25"/>
      <c r="X11" s="25"/>
      <c r="Y11" s="20"/>
      <c r="Z11" s="25"/>
      <c r="AA11" s="25"/>
      <c r="AB11" s="25"/>
      <c r="AC11" s="25"/>
      <c r="AD11" s="25"/>
      <c r="AE11" s="25"/>
      <c r="AF11" s="25"/>
      <c r="AG11" s="25"/>
    </row>
    <row r="12" spans="1:33" ht="15.75">
      <c r="A12" s="24" t="s">
        <v>46</v>
      </c>
      <c r="B12" s="25">
        <v>137.34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>
        <v>260</v>
      </c>
      <c r="Q12" s="25">
        <v>240</v>
      </c>
      <c r="R12" s="25"/>
      <c r="S12" s="25"/>
      <c r="T12" s="25">
        <v>312</v>
      </c>
      <c r="U12" s="28"/>
      <c r="V12" s="20"/>
      <c r="W12" s="25"/>
      <c r="X12" s="25"/>
      <c r="Y12" s="20"/>
      <c r="Z12" s="25"/>
      <c r="AA12" s="25"/>
      <c r="AB12" s="25"/>
      <c r="AC12" s="25"/>
      <c r="AD12" s="25"/>
      <c r="AE12" s="25"/>
      <c r="AF12" s="25"/>
      <c r="AG12" s="25"/>
    </row>
    <row r="13" spans="1:33" ht="15.75">
      <c r="A13" s="24" t="s">
        <v>47</v>
      </c>
      <c r="B13" s="25">
        <v>137.34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>
        <v>231</v>
      </c>
      <c r="Q13" s="25">
        <v>237</v>
      </c>
      <c r="R13" s="25"/>
      <c r="S13" s="25"/>
      <c r="T13" s="25">
        <v>280</v>
      </c>
      <c r="U13" s="28"/>
      <c r="V13" s="25"/>
      <c r="W13" s="25"/>
      <c r="X13" s="25"/>
      <c r="Y13" s="20"/>
      <c r="Z13" s="25"/>
      <c r="AA13" s="25"/>
      <c r="AB13" s="25"/>
      <c r="AC13" s="25"/>
      <c r="AD13" s="25"/>
      <c r="AE13" s="25"/>
      <c r="AF13" s="25"/>
      <c r="AG13" s="25"/>
    </row>
    <row r="14" spans="1:33" ht="15.75">
      <c r="A14" s="24" t="s">
        <v>48</v>
      </c>
      <c r="B14" s="26">
        <v>127.53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>
        <v>252</v>
      </c>
      <c r="Q14" s="25">
        <v>260</v>
      </c>
      <c r="R14" s="25"/>
      <c r="S14" s="25"/>
      <c r="T14" s="25">
        <v>310</v>
      </c>
      <c r="U14" s="25"/>
      <c r="V14" s="25"/>
      <c r="W14" s="25"/>
      <c r="X14" s="25"/>
      <c r="Y14" s="20"/>
      <c r="Z14" s="25"/>
      <c r="AA14" s="25"/>
      <c r="AB14" s="25"/>
      <c r="AC14" s="25"/>
      <c r="AD14" s="25"/>
      <c r="AE14" s="25"/>
      <c r="AF14" s="25"/>
      <c r="AG14" s="25"/>
    </row>
    <row r="15" spans="1:33" ht="15.75">
      <c r="A15" s="24" t="s">
        <v>49</v>
      </c>
      <c r="B15" s="26">
        <v>127.53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>
        <v>239</v>
      </c>
      <c r="Q15" s="25">
        <v>250</v>
      </c>
      <c r="R15" s="25"/>
      <c r="S15" s="25"/>
      <c r="T15" s="79">
        <v>290</v>
      </c>
      <c r="U15" s="25"/>
      <c r="V15" s="25"/>
      <c r="W15" s="25"/>
      <c r="X15" s="25"/>
      <c r="Y15" s="20"/>
      <c r="Z15" s="25"/>
      <c r="AA15" s="25"/>
      <c r="AB15" s="25"/>
      <c r="AC15" s="25"/>
      <c r="AD15" s="25"/>
      <c r="AE15" s="25"/>
      <c r="AF15" s="25"/>
      <c r="AG15" s="25"/>
    </row>
    <row r="16" spans="1:33" ht="15.75">
      <c r="A16" s="24" t="s">
        <v>50</v>
      </c>
      <c r="B16" s="26">
        <v>127.53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0"/>
      <c r="Z16" s="25"/>
      <c r="AA16" s="25"/>
      <c r="AB16" s="25"/>
      <c r="AC16" s="25"/>
      <c r="AD16" s="25"/>
      <c r="AE16" s="25"/>
      <c r="AF16" s="25"/>
      <c r="AG16" s="25"/>
    </row>
    <row r="17" spans="1:33" ht="15.75">
      <c r="A17" s="24" t="s">
        <v>51</v>
      </c>
      <c r="B17" s="26">
        <v>127.53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0"/>
      <c r="Z17" s="25"/>
      <c r="AA17" s="25"/>
      <c r="AB17" s="25"/>
      <c r="AC17" s="25"/>
      <c r="AD17" s="25"/>
      <c r="AE17" s="25"/>
      <c r="AF17" s="25"/>
      <c r="AG17" s="25"/>
    </row>
    <row r="18" spans="1:33" ht="15.75">
      <c r="A18" s="24" t="s">
        <v>52</v>
      </c>
      <c r="B18" s="26">
        <v>127.53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0"/>
      <c r="Z18" s="25"/>
      <c r="AA18" s="25"/>
      <c r="AB18" s="25"/>
      <c r="AC18" s="79"/>
      <c r="AD18" s="25"/>
      <c r="AE18" s="25"/>
      <c r="AF18" s="25"/>
      <c r="AG18" s="25"/>
    </row>
    <row r="19" spans="1:33" ht="15.75">
      <c r="A19" s="27" t="s">
        <v>53</v>
      </c>
      <c r="B19" s="26">
        <v>127.53</v>
      </c>
      <c r="C19" s="25"/>
      <c r="D19" s="25"/>
      <c r="E19" s="25"/>
      <c r="F19" s="25"/>
      <c r="G19" s="25"/>
      <c r="H19" s="79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0"/>
      <c r="Z19" s="25"/>
      <c r="AA19" s="25"/>
      <c r="AB19" s="25"/>
      <c r="AC19" s="25"/>
      <c r="AD19" s="25"/>
      <c r="AE19" s="25"/>
      <c r="AF19" s="25"/>
      <c r="AG19" s="25"/>
    </row>
    <row r="20" spans="1:33" ht="15" customHeight="1">
      <c r="A20" s="27" t="s">
        <v>54</v>
      </c>
      <c r="B20" s="28">
        <v>137.34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</row>
    <row r="21" spans="1:33" ht="15.75">
      <c r="A21" s="27" t="s">
        <v>55</v>
      </c>
      <c r="B21" s="28">
        <v>137.34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84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</row>
    <row r="22" spans="1:33" ht="15.75">
      <c r="A22" s="27" t="s">
        <v>56</v>
      </c>
      <c r="B22" s="28">
        <v>137.34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</row>
    <row r="23" spans="1:33" ht="15.75">
      <c r="A23" s="27" t="s">
        <v>57</v>
      </c>
      <c r="B23" s="28">
        <v>137.34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</row>
    <row r="24" spans="1:33" ht="15.75">
      <c r="A24" s="27" t="s">
        <v>58</v>
      </c>
      <c r="B24" s="28">
        <v>137.34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</row>
    <row r="25" spans="1:33" ht="15.75">
      <c r="C25" s="86"/>
      <c r="O25" s="86"/>
      <c r="V25" s="79"/>
      <c r="Y25" s="79"/>
      <c r="AD25" s="25"/>
      <c r="AF25" s="79"/>
    </row>
    <row r="26" spans="1:33" ht="15.75">
      <c r="C26" s="86"/>
    </row>
    <row r="32" spans="1:33" ht="15.75">
      <c r="P32" s="27"/>
    </row>
  </sheetData>
  <autoFilter ref="A1:AG24" xr:uid="{00000000-0001-0000-0200-000000000000}"/>
  <pageMargins left="0.7" right="0.7" top="0.75" bottom="0.75" header="0.51180555555555496" footer="0.51180555555555496"/>
  <pageSetup paperSize="9" firstPageNumber="0" orientation="portrait" useFirstPageNumber="1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4"/>
  <sheetViews>
    <sheetView topLeftCell="S1" workbookViewId="0">
      <selection activeCell="Y3" sqref="Y3"/>
    </sheetView>
  </sheetViews>
  <sheetFormatPr defaultColWidth="8.7109375" defaultRowHeight="15"/>
  <cols>
    <col min="1" max="1" width="17.42578125" customWidth="1"/>
    <col min="2" max="2" width="15.7109375" customWidth="1"/>
    <col min="32" max="34" width="8.7109375" customWidth="1"/>
  </cols>
  <sheetData>
    <row r="1" spans="1:33">
      <c r="A1" s="2" t="s">
        <v>59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3">
      <c r="A2" s="12" t="s">
        <v>60</v>
      </c>
      <c r="B2" s="13" t="s">
        <v>36</v>
      </c>
      <c r="C2" s="13">
        <f>'Daily Energy'!C2</f>
        <v>46235</v>
      </c>
      <c r="D2" s="13">
        <f>'Daily Energy'!D2</f>
        <v>46236</v>
      </c>
      <c r="E2" s="13">
        <f>'Daily Energy'!E2</f>
        <v>46237</v>
      </c>
      <c r="F2" s="13">
        <f>'Daily Energy'!F2</f>
        <v>46238</v>
      </c>
      <c r="G2" s="13">
        <f>'Daily Energy'!G2</f>
        <v>46239</v>
      </c>
      <c r="H2" s="13">
        <f>'Daily Energy'!H2</f>
        <v>46240</v>
      </c>
      <c r="I2" s="13">
        <f>'Daily Energy'!I2</f>
        <v>46241</v>
      </c>
      <c r="J2" s="13">
        <f>'Daily Energy'!J2</f>
        <v>46242</v>
      </c>
      <c r="K2" s="13">
        <f>'Daily Energy'!K2</f>
        <v>46243</v>
      </c>
      <c r="L2" s="13">
        <f>'Daily Energy'!L2</f>
        <v>46244</v>
      </c>
      <c r="M2" s="13">
        <f>'Daily Energy'!M2</f>
        <v>46245</v>
      </c>
      <c r="N2" s="13">
        <f>'Daily Energy'!N2</f>
        <v>46246</v>
      </c>
      <c r="O2" s="13">
        <f>'Daily Energy'!O2</f>
        <v>46247</v>
      </c>
      <c r="P2" s="13">
        <f>'Daily Energy'!P2</f>
        <v>46248</v>
      </c>
      <c r="Q2" s="13">
        <f>'Daily Energy'!Q2</f>
        <v>46249</v>
      </c>
      <c r="R2" s="13">
        <f>'Daily Energy'!R2</f>
        <v>46250</v>
      </c>
      <c r="S2" s="13">
        <f>'Daily Energy'!S2</f>
        <v>46251</v>
      </c>
      <c r="T2" s="13">
        <f>'Daily Energy'!T2</f>
        <v>46252</v>
      </c>
      <c r="U2" s="13">
        <f>'Daily Energy'!U2</f>
        <v>46253</v>
      </c>
      <c r="V2" s="13">
        <f>'Daily Energy'!V2</f>
        <v>46254</v>
      </c>
      <c r="W2" s="13">
        <f>'Daily Energy'!W2</f>
        <v>46255</v>
      </c>
      <c r="X2" s="13">
        <f>'Daily Energy'!X2</f>
        <v>46256</v>
      </c>
      <c r="Y2" s="13">
        <f>'Daily Energy'!Y2</f>
        <v>46257</v>
      </c>
      <c r="Z2" s="13">
        <f>'Daily Energy'!Z2</f>
        <v>46258</v>
      </c>
      <c r="AA2" s="13">
        <f>'Daily Energy'!AA2</f>
        <v>46259</v>
      </c>
      <c r="AB2" s="13">
        <f>'Daily Energy'!AB2</f>
        <v>46260</v>
      </c>
      <c r="AC2" s="13">
        <f>'Daily Energy'!AC2</f>
        <v>46261</v>
      </c>
      <c r="AD2" s="13">
        <f>'Daily Energy'!AD2</f>
        <v>46262</v>
      </c>
      <c r="AE2" s="13">
        <f>'Daily Energy'!AE2</f>
        <v>46263</v>
      </c>
      <c r="AF2" s="13">
        <f>'Daily Energy'!AF2</f>
        <v>46264</v>
      </c>
      <c r="AG2" s="13">
        <f>'Daily Energy'!AG2</f>
        <v>46265</v>
      </c>
    </row>
    <row r="3" spans="1:33">
      <c r="A3" s="14" t="s">
        <v>37</v>
      </c>
      <c r="B3" s="15">
        <v>127.53</v>
      </c>
      <c r="C3" s="16">
        <v>489</v>
      </c>
      <c r="D3" s="16">
        <f>'Daily Energy'!D4/'Daily Energy'!$B3</f>
        <v>0</v>
      </c>
      <c r="E3" s="16">
        <f>'Daily Energy'!E3/'Daily Energy'!$B3</f>
        <v>0</v>
      </c>
      <c r="F3" s="16">
        <f>'Daily Energy'!F3/'Daily Energy'!$B3</f>
        <v>0</v>
      </c>
      <c r="G3" s="16">
        <f>'Daily Energy'!G3/'Daily Energy'!$B3</f>
        <v>0</v>
      </c>
      <c r="H3" s="16">
        <f>'Daily Energy'!H3/'Daily Energy'!$B3</f>
        <v>0</v>
      </c>
      <c r="I3" s="16">
        <f>'Daily Energy'!I3/'Daily Energy'!$B3</f>
        <v>0</v>
      </c>
      <c r="J3" s="16">
        <f>'Daily Energy'!J3/'Daily Energy'!$B3</f>
        <v>0</v>
      </c>
      <c r="K3" s="16">
        <f>'Daily Energy'!K3/'Daily Energy'!$B3</f>
        <v>0</v>
      </c>
      <c r="L3" s="16">
        <f>'Daily Energy'!L3/'Daily Energy'!$B3</f>
        <v>0</v>
      </c>
      <c r="M3" s="16">
        <f>'Daily Energy'!M3/'Daily Energy'!$B3</f>
        <v>0</v>
      </c>
      <c r="N3" s="16">
        <f>'Daily Energy'!N3/'Daily Energy'!$B3</f>
        <v>0</v>
      </c>
      <c r="O3" s="16">
        <f>'Daily Energy'!O3/'Daily Energy'!$B3</f>
        <v>0</v>
      </c>
      <c r="P3" s="16">
        <f>'Daily Energy'!P3/'Daily Energy'!$B3</f>
        <v>1.6309887869520896</v>
      </c>
      <c r="Q3" s="16">
        <f>'Daily Energy'!Q3/'Daily Energy'!$B3</f>
        <v>1.7094017094017093</v>
      </c>
      <c r="R3" s="16">
        <f>'Daily Energy'!R3/'Daily Energy'!$B3</f>
        <v>0</v>
      </c>
      <c r="S3" s="16">
        <f>'Daily Energy'!S3/'Daily Energy'!$B3</f>
        <v>0</v>
      </c>
      <c r="T3" s="19">
        <f>'Daily Energy'!T3/'Daily Energy'!$B3</f>
        <v>1.3957500196032306</v>
      </c>
      <c r="U3" s="19">
        <f>'Daily Energy'!U3/'Daily Energy'!$B3</f>
        <v>0</v>
      </c>
      <c r="V3" s="16">
        <f>'Daily Energy'!W3/'Daily Energy'!$B3</f>
        <v>0</v>
      </c>
      <c r="W3" s="16">
        <f>'Daily Energy'!X3/'Daily Energy'!$B3</f>
        <v>0</v>
      </c>
      <c r="X3" s="16">
        <f>'Daily Energy'!Z3/'Daily Energy'!$B3</f>
        <v>0</v>
      </c>
      <c r="Y3" s="16" t="e">
        <f>'Daily Energy'!#REF!/'Daily Energy'!$B3</f>
        <v>#REF!</v>
      </c>
      <c r="Z3" s="16" t="e">
        <f>'Daily Energy'!#REF!/'Daily Energy'!$B3</f>
        <v>#REF!</v>
      </c>
      <c r="AA3" s="16">
        <f>'Daily Energy'!AA3/'Daily Energy'!$B3</f>
        <v>0</v>
      </c>
      <c r="AB3" s="16">
        <f>'Daily Energy'!AB3/'Daily Energy'!$B3</f>
        <v>0</v>
      </c>
      <c r="AC3" s="16">
        <f>'Daily Energy'!AC3/'Daily Energy'!$B3</f>
        <v>0</v>
      </c>
      <c r="AD3" s="16">
        <f>'Daily Energy'!AD3/'Daily Energy'!$B3</f>
        <v>0</v>
      </c>
      <c r="AE3" s="16">
        <f>'Daily Energy'!AE3/'Daily Energy'!$B3</f>
        <v>0</v>
      </c>
      <c r="AF3" s="16">
        <f>'Daily Energy'!AF3/'Daily Energy'!$B3</f>
        <v>0</v>
      </c>
      <c r="AG3" s="16">
        <f>'Daily Energy'!AG3/'Daily Energy'!$B3</f>
        <v>0</v>
      </c>
    </row>
    <row r="4" spans="1:33">
      <c r="A4" s="14" t="s">
        <v>38</v>
      </c>
      <c r="B4" s="15">
        <v>127.53</v>
      </c>
      <c r="C4" s="16">
        <v>495</v>
      </c>
      <c r="D4" s="16">
        <f>'Daily Energy'!D5/'Daily Energy'!$B4</f>
        <v>0</v>
      </c>
      <c r="E4" s="16">
        <f>'Daily Energy'!E4/'Daily Energy'!$B4</f>
        <v>0</v>
      </c>
      <c r="F4" s="16">
        <f>'Daily Energy'!F4/'Daily Energy'!$B4</f>
        <v>0</v>
      </c>
      <c r="G4" s="16">
        <f>'Daily Energy'!G4/'Daily Energy'!$B4</f>
        <v>0</v>
      </c>
      <c r="H4" s="16">
        <f>'Daily Energy'!H4/'Daily Energy'!$B4</f>
        <v>0</v>
      </c>
      <c r="I4" s="16">
        <f>'Daily Energy'!I4/'Daily Energy'!$B4</f>
        <v>0</v>
      </c>
      <c r="J4" s="16">
        <f>'Daily Energy'!J4/'Daily Energy'!$B4</f>
        <v>0</v>
      </c>
      <c r="K4" s="16">
        <f>'Daily Energy'!K4/'Daily Energy'!$B4</f>
        <v>0</v>
      </c>
      <c r="L4" s="16">
        <f>'Daily Energy'!L4/'Daily Energy'!$B4</f>
        <v>0</v>
      </c>
      <c r="M4" s="16">
        <f>'Daily Energy'!M4/'Daily Energy'!$B4</f>
        <v>0</v>
      </c>
      <c r="N4" s="16">
        <f>'Daily Energy'!N4/'Daily Energy'!$B4</f>
        <v>0</v>
      </c>
      <c r="O4" s="16">
        <f>'Daily Energy'!O4/'Daily Energy'!$B4</f>
        <v>0</v>
      </c>
      <c r="P4" s="16">
        <f>'Daily Energy'!P4/'Daily Energy'!$B4</f>
        <v>1.9446404767505685</v>
      </c>
      <c r="Q4" s="16">
        <f>'Daily Energy'!Q4/'Daily Energy'!$B4</f>
        <v>1.9446404767505685</v>
      </c>
      <c r="R4" s="16">
        <f>'Daily Energy'!R4/'Daily Energy'!$B4</f>
        <v>0</v>
      </c>
      <c r="S4" s="16">
        <f>'Daily Energy'!S4/'Daily Energy'!$B4</f>
        <v>0</v>
      </c>
      <c r="T4" s="19">
        <f>'Daily Energy'!T4/'Daily Energy'!$B4</f>
        <v>2.4308005959382104</v>
      </c>
      <c r="U4" s="19">
        <f>'Daily Energy'!U4/'Daily Energy'!$B4</f>
        <v>0</v>
      </c>
      <c r="V4" s="16">
        <f>'Daily Energy'!W4/'Daily Energy'!$B4</f>
        <v>0</v>
      </c>
      <c r="W4" s="16">
        <f>'Daily Energy'!X4/'Daily Energy'!$B4</f>
        <v>0</v>
      </c>
      <c r="X4" s="16">
        <f>'Daily Energy'!Z4/'Daily Energy'!$B4</f>
        <v>0</v>
      </c>
      <c r="Y4" s="16" t="e">
        <f>'Daily Energy'!#REF!/'Daily Energy'!$B4</f>
        <v>#REF!</v>
      </c>
      <c r="Z4" s="16" t="e">
        <f>'Daily Energy'!#REF!/'Daily Energy'!$B4</f>
        <v>#REF!</v>
      </c>
      <c r="AA4" s="16">
        <f>'Daily Energy'!AA4/'Daily Energy'!$B4</f>
        <v>0</v>
      </c>
      <c r="AB4" s="16">
        <f>'Daily Energy'!AB4/'Daily Energy'!$B4</f>
        <v>0</v>
      </c>
      <c r="AC4" s="16">
        <f>'Daily Energy'!AC4/'Daily Energy'!$B4</f>
        <v>0</v>
      </c>
      <c r="AD4" s="16">
        <f>'Daily Energy'!AD4/'Daily Energy'!$B4</f>
        <v>0</v>
      </c>
      <c r="AE4" s="16">
        <f>'Daily Energy'!AE4/'Daily Energy'!$B4</f>
        <v>0</v>
      </c>
      <c r="AF4" s="16">
        <f>'Daily Energy'!AF4/'Daily Energy'!$B4</f>
        <v>0</v>
      </c>
      <c r="AG4" s="16">
        <f>'Daily Energy'!AG4/'Daily Energy'!$B4</f>
        <v>0</v>
      </c>
    </row>
    <row r="5" spans="1:33">
      <c r="A5" s="14" t="s">
        <v>39</v>
      </c>
      <c r="B5" s="15">
        <v>127.53</v>
      </c>
      <c r="C5" s="16">
        <v>501</v>
      </c>
      <c r="D5" s="16">
        <f>'Daily Energy'!D6/'Daily Energy'!$B5</f>
        <v>0</v>
      </c>
      <c r="E5" s="16">
        <f>'Daily Energy'!E5/'Daily Energy'!$B5</f>
        <v>0</v>
      </c>
      <c r="F5" s="16">
        <f>'Daily Energy'!F5/'Daily Energy'!$B5</f>
        <v>0</v>
      </c>
      <c r="G5" s="16">
        <f>'Daily Energy'!G5/'Daily Energy'!$B5</f>
        <v>0</v>
      </c>
      <c r="H5" s="16">
        <f>'Daily Energy'!H5/'Daily Energy'!$B5</f>
        <v>0</v>
      </c>
      <c r="I5" s="16">
        <f>'Daily Energy'!I5/'Daily Energy'!$B5</f>
        <v>0</v>
      </c>
      <c r="J5" s="16">
        <f>'Daily Energy'!J5/'Daily Energy'!$B5</f>
        <v>0</v>
      </c>
      <c r="K5" s="16">
        <f>'Daily Energy'!K5/'Daily Energy'!$B5</f>
        <v>0</v>
      </c>
      <c r="L5" s="16">
        <f>'Daily Energy'!L5/'Daily Energy'!$B5</f>
        <v>0</v>
      </c>
      <c r="M5" s="16">
        <f>'Daily Energy'!M5/'Daily Energy'!$B5</f>
        <v>0</v>
      </c>
      <c r="N5" s="16">
        <f>'Daily Energy'!N5/'Daily Energy'!$B5</f>
        <v>0</v>
      </c>
      <c r="O5" s="16">
        <f>'Daily Energy'!O5/'Daily Energy'!$B5</f>
        <v>0</v>
      </c>
      <c r="P5" s="16" t="e">
        <f>'Daily Energy'!#REF!/'Daily Energy'!$B5</f>
        <v>#REF!</v>
      </c>
      <c r="Q5" s="16">
        <f>'Daily Energy'!Q5/'Daily Energy'!$B5</f>
        <v>2.007370814710264</v>
      </c>
      <c r="R5" s="16">
        <f>'Daily Energy'!R5/'Daily Energy'!$B5</f>
        <v>0</v>
      </c>
      <c r="S5" s="16">
        <f>'Daily Energy'!S5/'Daily Energy'!$B5</f>
        <v>0</v>
      </c>
      <c r="T5" s="19">
        <f>'Daily Energy'!T5/'Daily Energy'!$B5</f>
        <v>2.3523876734885909</v>
      </c>
      <c r="U5" s="19">
        <f>'Daily Energy'!U5/'Daily Energy'!$B5</f>
        <v>0</v>
      </c>
      <c r="V5" s="16">
        <f>'Daily Energy'!W5/'Daily Energy'!$B5</f>
        <v>0</v>
      </c>
      <c r="W5" s="16">
        <f>'Daily Energy'!X5/'Daily Energy'!$B5</f>
        <v>0</v>
      </c>
      <c r="X5" s="16">
        <f>'Daily Energy'!Z5/'Daily Energy'!$B5</f>
        <v>0</v>
      </c>
      <c r="Y5" s="16" t="e">
        <f>'Daily Energy'!#REF!/'Daily Energy'!$B5</f>
        <v>#REF!</v>
      </c>
      <c r="Z5" s="16" t="e">
        <f>'Daily Energy'!#REF!/'Daily Energy'!$B5</f>
        <v>#REF!</v>
      </c>
      <c r="AA5" s="16">
        <f>'Daily Energy'!AA5/'Daily Energy'!$B5</f>
        <v>0</v>
      </c>
      <c r="AB5" s="16">
        <f>'Daily Energy'!AB5/'Daily Energy'!$B5</f>
        <v>0</v>
      </c>
      <c r="AC5" s="16">
        <f>'Daily Energy'!AC5/'Daily Energy'!$B5</f>
        <v>0</v>
      </c>
      <c r="AD5" s="16">
        <f>'Daily Energy'!AD5/'Daily Energy'!$B5</f>
        <v>0</v>
      </c>
      <c r="AE5" s="16">
        <f>'Daily Energy'!AE5/'Daily Energy'!$B5</f>
        <v>0</v>
      </c>
      <c r="AF5" s="16">
        <f>'Daily Energy'!AF5/'Daily Energy'!$B5</f>
        <v>0</v>
      </c>
      <c r="AG5" s="16">
        <f>'Daily Energy'!AG5/'Daily Energy'!$B5</f>
        <v>0</v>
      </c>
    </row>
    <row r="6" spans="1:33">
      <c r="A6" s="14" t="s">
        <v>40</v>
      </c>
      <c r="B6" s="15">
        <v>127.53</v>
      </c>
      <c r="C6" s="16">
        <v>477</v>
      </c>
      <c r="D6" s="16">
        <f>'Daily Energy'!D7/'Daily Energy'!$B6</f>
        <v>0</v>
      </c>
      <c r="E6" s="16">
        <f>'Daily Energy'!E6/'Daily Energy'!$B6</f>
        <v>0</v>
      </c>
      <c r="F6" s="16">
        <f>'Daily Energy'!F6/'Daily Energy'!$B6</f>
        <v>0</v>
      </c>
      <c r="G6" s="16">
        <f>'Daily Energy'!G6/'Daily Energy'!$B6</f>
        <v>0</v>
      </c>
      <c r="H6" s="16">
        <f>'Daily Energy'!H6/'Daily Energy'!$B6</f>
        <v>0</v>
      </c>
      <c r="I6" s="16">
        <f>'Daily Energy'!I6/'Daily Energy'!$B6</f>
        <v>0</v>
      </c>
      <c r="J6" s="16">
        <f>'Daily Energy'!J6/'Daily Energy'!$B6</f>
        <v>0</v>
      </c>
      <c r="K6" s="16">
        <f>'Daily Energy'!K6/'Daily Energy'!$B6</f>
        <v>0</v>
      </c>
      <c r="L6" s="16">
        <f>'Daily Energy'!L6/'Daily Energy'!$B6</f>
        <v>0</v>
      </c>
      <c r="M6" s="16">
        <f>'Daily Energy'!M6/'Daily Energy'!$B6</f>
        <v>0</v>
      </c>
      <c r="N6" s="16">
        <f>'Daily Energy'!N6/'Daily Energy'!$B6</f>
        <v>0</v>
      </c>
      <c r="O6" s="16">
        <f>'Daily Energy'!O6/'Daily Energy'!$B6</f>
        <v>0</v>
      </c>
      <c r="P6" s="16">
        <f>'Daily Energy'!P5/'Daily Energy'!$B6</f>
        <v>1.9054340155257585</v>
      </c>
      <c r="Q6" s="16">
        <f>'Daily Energy'!Q6/'Daily Energy'!$B6</f>
        <v>1.8427036775660628</v>
      </c>
      <c r="R6" s="16">
        <f>'Daily Energy'!R6/'Daily Energy'!$B6</f>
        <v>0</v>
      </c>
      <c r="S6" s="16">
        <f>'Daily Energy'!S6/'Daily Energy'!$B6</f>
        <v>0</v>
      </c>
      <c r="T6" s="19">
        <f>'Daily Energy'!T6/'Daily Energy'!$B6</f>
        <v>2.1563553673645415</v>
      </c>
      <c r="U6" s="19">
        <f>'Daily Energy'!U6/'Daily Energy'!$B6</f>
        <v>0</v>
      </c>
      <c r="V6" s="16">
        <f>'Daily Energy'!W6/'Daily Energy'!$B6</f>
        <v>0</v>
      </c>
      <c r="W6" s="16">
        <f>'Daily Energy'!X6/'Daily Energy'!$B6</f>
        <v>0</v>
      </c>
      <c r="X6" s="16">
        <f>'Daily Energy'!Z6/'Daily Energy'!$B6</f>
        <v>0</v>
      </c>
      <c r="Y6" s="16" t="e">
        <f>'Daily Energy'!#REF!/'Daily Energy'!$B6</f>
        <v>#REF!</v>
      </c>
      <c r="Z6" s="16" t="e">
        <f>'Daily Energy'!#REF!/'Daily Energy'!$B6</f>
        <v>#REF!</v>
      </c>
      <c r="AA6" s="16">
        <f>'Daily Energy'!AA6/'Daily Energy'!$B6</f>
        <v>0</v>
      </c>
      <c r="AB6" s="16">
        <f>'Daily Energy'!AB6/'Daily Energy'!$B6</f>
        <v>0</v>
      </c>
      <c r="AC6" s="16">
        <f>'Daily Energy'!AC6/'Daily Energy'!$B6</f>
        <v>0</v>
      </c>
      <c r="AD6" s="16">
        <f>'Daily Energy'!AD6/'Daily Energy'!$B6</f>
        <v>0</v>
      </c>
      <c r="AE6" s="16">
        <f>'Daily Energy'!AE6/'Daily Energy'!$B6</f>
        <v>0</v>
      </c>
      <c r="AF6" s="16">
        <f>'Daily Energy'!AF6/'Daily Energy'!$B6</f>
        <v>0</v>
      </c>
      <c r="AG6" s="16">
        <f>'Daily Energy'!AG6/'Daily Energy'!$B6</f>
        <v>0</v>
      </c>
    </row>
    <row r="7" spans="1:33">
      <c r="A7" s="14" t="s">
        <v>41</v>
      </c>
      <c r="B7" s="15">
        <v>127.53</v>
      </c>
      <c r="C7" s="16">
        <v>446</v>
      </c>
      <c r="D7" s="16">
        <f>'Daily Energy'!D8/'Daily Energy'!$B7</f>
        <v>0</v>
      </c>
      <c r="E7" s="16">
        <f>'Daily Energy'!E7/'Daily Energy'!$B7</f>
        <v>0</v>
      </c>
      <c r="F7" s="16">
        <f>'Daily Energy'!F7/'Daily Energy'!$B7</f>
        <v>0</v>
      </c>
      <c r="G7" s="16">
        <f>'Daily Energy'!G7/'Daily Energy'!$B7</f>
        <v>0</v>
      </c>
      <c r="H7" s="16">
        <f>'Daily Energy'!H7/'Daily Energy'!$B7</f>
        <v>0</v>
      </c>
      <c r="I7" s="16">
        <f>'Daily Energy'!I7/'Daily Energy'!$B7</f>
        <v>0</v>
      </c>
      <c r="J7" s="16">
        <f>'Daily Energy'!J7/'Daily Energy'!$B7</f>
        <v>0</v>
      </c>
      <c r="K7" s="16">
        <f>'Daily Energy'!K7/'Daily Energy'!$B7</f>
        <v>0</v>
      </c>
      <c r="L7" s="16">
        <f>'Daily Energy'!L7/'Daily Energy'!$B7</f>
        <v>0</v>
      </c>
      <c r="M7" s="16">
        <f>'Daily Energy'!M7/'Daily Energy'!$B7</f>
        <v>0</v>
      </c>
      <c r="N7" s="16">
        <f>'Daily Energy'!N7/'Daily Energy'!$B7</f>
        <v>0</v>
      </c>
      <c r="O7" s="16">
        <f>'Daily Energy'!O7/'Daily Energy'!$B7</f>
        <v>0</v>
      </c>
      <c r="P7" s="16">
        <f>'Daily Energy'!P6/'Daily Energy'!$B7</f>
        <v>1.6701952481768996</v>
      </c>
      <c r="Q7" s="16">
        <f>'Daily Energy'!Q7/'Daily Energy'!$B7</f>
        <v>2.015212106955226</v>
      </c>
      <c r="R7" s="16">
        <f>'Daily Energy'!R7/'Daily Energy'!$B7</f>
        <v>0</v>
      </c>
      <c r="S7" s="16">
        <f>'Daily Energy'!S7/'Daily Energy'!$B7</f>
        <v>0</v>
      </c>
      <c r="T7" s="19">
        <f>'Daily Energy'!T7/'Daily Energy'!$B7</f>
        <v>2.4386418881831724</v>
      </c>
      <c r="U7" s="19">
        <f>'Daily Energy'!U7/'Daily Energy'!$B7</f>
        <v>0</v>
      </c>
      <c r="V7" s="16">
        <f>'Daily Energy'!W7/'Daily Energy'!$B7</f>
        <v>0</v>
      </c>
      <c r="W7" s="16">
        <f>'Daily Energy'!X7/'Daily Energy'!$B7</f>
        <v>0</v>
      </c>
      <c r="X7" s="16">
        <f>'Daily Energy'!Z7/'Daily Energy'!$B7</f>
        <v>0</v>
      </c>
      <c r="Y7" s="16" t="e">
        <f>'Daily Energy'!#REF!/'Daily Energy'!$B7</f>
        <v>#REF!</v>
      </c>
      <c r="Z7" s="16" t="e">
        <f>'Daily Energy'!#REF!/'Daily Energy'!$B7</f>
        <v>#REF!</v>
      </c>
      <c r="AA7" s="16">
        <f>'Daily Energy'!AA7/'Daily Energy'!$B7</f>
        <v>0</v>
      </c>
      <c r="AB7" s="16">
        <f>'Daily Energy'!AB7/'Daily Energy'!$B7</f>
        <v>0</v>
      </c>
      <c r="AC7" s="16">
        <f>'Daily Energy'!AC7/'Daily Energy'!$B7</f>
        <v>0</v>
      </c>
      <c r="AD7" s="16">
        <f>'Daily Energy'!AD7/'Daily Energy'!$B7</f>
        <v>0</v>
      </c>
      <c r="AE7" s="16" t="e">
        <f>'Daily Energy'!#REF!/'Daily Energy'!$B7</f>
        <v>#REF!</v>
      </c>
      <c r="AF7" s="16">
        <f>'Daily Energy'!AF7/'Daily Energy'!$B7</f>
        <v>0</v>
      </c>
      <c r="AG7" s="16">
        <f>'Daily Energy'!AG7/'Daily Energy'!$B7</f>
        <v>0</v>
      </c>
    </row>
    <row r="8" spans="1:33">
      <c r="A8" s="14" t="s">
        <v>42</v>
      </c>
      <c r="B8" s="15">
        <v>127.53</v>
      </c>
      <c r="C8" s="16">
        <v>486</v>
      </c>
      <c r="D8" s="16">
        <f>'Daily Energy'!D9/'Daily Energy'!$B8</f>
        <v>0</v>
      </c>
      <c r="E8" s="16">
        <f>'Daily Energy'!E8/'Daily Energy'!$B8</f>
        <v>0</v>
      </c>
      <c r="F8" s="16">
        <f>'Daily Energy'!F8/'Daily Energy'!$B8</f>
        <v>0</v>
      </c>
      <c r="G8" s="16">
        <f>'Daily Energy'!G8/'Daily Energy'!$B8</f>
        <v>0</v>
      </c>
      <c r="H8" s="16" t="e">
        <f>'Daily Energy'!#REF!/'Daily Energy'!$B8</f>
        <v>#REF!</v>
      </c>
      <c r="I8" s="16">
        <f>'Daily Energy'!I8/'Daily Energy'!$B8</f>
        <v>0</v>
      </c>
      <c r="J8" s="16">
        <f>'Daily Energy'!J8/'Daily Energy'!$B8</f>
        <v>0</v>
      </c>
      <c r="K8" s="16">
        <f>'Daily Energy'!K8/'Daily Energy'!$B8</f>
        <v>0</v>
      </c>
      <c r="L8" s="16">
        <f>'Daily Energy'!L8/'Daily Energy'!$B8</f>
        <v>0</v>
      </c>
      <c r="M8" s="16">
        <f>'Daily Energy'!M8/'Daily Energy'!$B8</f>
        <v>0</v>
      </c>
      <c r="N8" s="16">
        <f>'Daily Energy'!N8/'Daily Energy'!$B8</f>
        <v>0</v>
      </c>
      <c r="O8" s="16">
        <f>'Daily Energy'!O8/'Daily Energy'!$B8</f>
        <v>0</v>
      </c>
      <c r="P8" s="16">
        <f>'Daily Energy'!P7/'Daily Energy'!$B8</f>
        <v>1.9681643534854545</v>
      </c>
      <c r="Q8" s="16">
        <f>'Daily Energy'!Q8/'Daily Energy'!$B8</f>
        <v>1.9132753077707205</v>
      </c>
      <c r="R8" s="16">
        <f>'Daily Energy'!R8/'Daily Energy'!$B8</f>
        <v>0</v>
      </c>
      <c r="S8" s="16">
        <f>'Daily Energy'!S8/'Daily Energy'!$B8</f>
        <v>0</v>
      </c>
      <c r="T8" s="19">
        <f>'Daily Energy'!T8/'Daily Energy'!$B8</f>
        <v>2.2661334587940094</v>
      </c>
      <c r="U8" s="19">
        <f>'Daily Energy'!U8/'Daily Energy'!$B8</f>
        <v>0</v>
      </c>
      <c r="V8" s="16">
        <f>'Daily Energy'!W8/'Daily Energy'!$B8</f>
        <v>0</v>
      </c>
      <c r="W8" s="16">
        <f>'Daily Energy'!X8/'Daily Energy'!$B8</f>
        <v>0</v>
      </c>
      <c r="X8" s="16">
        <f>'Daily Energy'!Z8/'Daily Energy'!$B8</f>
        <v>0</v>
      </c>
      <c r="Y8" s="16" t="e">
        <f>'Daily Energy'!#REF!/'Daily Energy'!$B8</f>
        <v>#REF!</v>
      </c>
      <c r="Z8" s="16" t="e">
        <f>'Daily Energy'!#REF!/'Daily Energy'!$B8</f>
        <v>#REF!</v>
      </c>
      <c r="AA8" s="16">
        <f>'Daily Energy'!AA8/'Daily Energy'!$B8</f>
        <v>0</v>
      </c>
      <c r="AB8" s="16">
        <f>'Daily Energy'!AB8/'Daily Energy'!$B8</f>
        <v>0</v>
      </c>
      <c r="AC8" s="16">
        <f>'Daily Energy'!AC8/'Daily Energy'!$B8</f>
        <v>0</v>
      </c>
      <c r="AD8" s="16">
        <f>'Daily Energy'!AD8/'Daily Energy'!$B8</f>
        <v>0</v>
      </c>
      <c r="AE8" s="16">
        <f>'Daily Energy'!AE7/'Daily Energy'!$B8</f>
        <v>0</v>
      </c>
      <c r="AF8" s="16">
        <f>'Daily Energy'!AF8/'Daily Energy'!$B8</f>
        <v>0</v>
      </c>
      <c r="AG8" s="16">
        <f>'Daily Energy'!AG8/'Daily Energy'!$B8</f>
        <v>0</v>
      </c>
    </row>
    <row r="9" spans="1:33">
      <c r="A9" s="14" t="s">
        <v>43</v>
      </c>
      <c r="B9" s="15">
        <v>137.34</v>
      </c>
      <c r="C9" s="16">
        <v>516</v>
      </c>
      <c r="D9" s="16">
        <f>'Daily Energy'!D10/'Daily Energy'!$B9</f>
        <v>0</v>
      </c>
      <c r="E9" s="16">
        <f>'Daily Energy'!E9/'Daily Energy'!$B9</f>
        <v>0</v>
      </c>
      <c r="F9" s="16">
        <f>'Daily Energy'!F9/'Daily Energy'!$B9</f>
        <v>0</v>
      </c>
      <c r="G9" s="16">
        <f>'Daily Energy'!G9/'Daily Energy'!$B9</f>
        <v>0</v>
      </c>
      <c r="H9" s="16">
        <f>'Daily Energy'!H8/'Daily Energy'!$B9</f>
        <v>0</v>
      </c>
      <c r="I9" s="16">
        <f>'Daily Energy'!I9/'Daily Energy'!$B9</f>
        <v>0</v>
      </c>
      <c r="J9" s="16">
        <f>'Daily Energy'!J9/'Daily Energy'!$B9</f>
        <v>0</v>
      </c>
      <c r="K9" s="16">
        <f>'Daily Energy'!K9/'Daily Energy'!$B9</f>
        <v>0</v>
      </c>
      <c r="L9" s="16">
        <f>'Daily Energy'!L9/'Daily Energy'!$B9</f>
        <v>0</v>
      </c>
      <c r="M9" s="16">
        <f>'Daily Energy'!M9/'Daily Energy'!$B9</f>
        <v>0</v>
      </c>
      <c r="N9" s="16">
        <f>'Daily Energy'!N9/'Daily Energy'!$B9</f>
        <v>0</v>
      </c>
      <c r="O9" s="16">
        <f>'Daily Energy'!O9/'Daily Energy'!$B9</f>
        <v>0</v>
      </c>
      <c r="P9" s="16">
        <f>'Daily Energy'!P8/'Daily Energy'!$B9</f>
        <v>1.7256443861948449</v>
      </c>
      <c r="Q9" s="16">
        <f>'Daily Energy'!Q9/'Daily Energy'!$B9</f>
        <v>1.8931119848551041</v>
      </c>
      <c r="R9" s="16">
        <f>'Daily Energy'!R9/'Daily Energy'!$B9</f>
        <v>0</v>
      </c>
      <c r="S9" s="16">
        <f>'Daily Energy'!S9/'Daily Energy'!$B9</f>
        <v>0</v>
      </c>
      <c r="T9" s="19">
        <f>'Daily Energy'!T9/'Daily Energy'!$B9</f>
        <v>2.2935779816513762</v>
      </c>
      <c r="U9" s="19">
        <f>'Daily Energy'!U9/'Daily Energy'!$B9</f>
        <v>0</v>
      </c>
      <c r="V9" s="16">
        <f>'Daily Energy'!W9/'Daily Energy'!$B9</f>
        <v>0</v>
      </c>
      <c r="W9" s="16">
        <f>'Daily Energy'!X9/'Daily Energy'!$B9</f>
        <v>0</v>
      </c>
      <c r="X9" s="16">
        <f>'Daily Energy'!Z9/'Daily Energy'!$B9</f>
        <v>0</v>
      </c>
      <c r="Y9" s="16" t="e">
        <f>'Daily Energy'!#REF!/'Daily Energy'!$B9</f>
        <v>#REF!</v>
      </c>
      <c r="Z9" s="16" t="e">
        <f>'Daily Energy'!#REF!/'Daily Energy'!$B9</f>
        <v>#REF!</v>
      </c>
      <c r="AA9" s="16">
        <f>'Daily Energy'!AA9/'Daily Energy'!$B9</f>
        <v>0</v>
      </c>
      <c r="AB9" s="16">
        <f>'Daily Energy'!AB9/'Daily Energy'!$B9</f>
        <v>0</v>
      </c>
      <c r="AC9" s="16">
        <f>'Daily Energy'!AC9/'Daily Energy'!$B9</f>
        <v>0</v>
      </c>
      <c r="AD9" s="16">
        <f>'Daily Energy'!AD9/'Daily Energy'!$B9</f>
        <v>0</v>
      </c>
      <c r="AE9" s="16">
        <f>'Daily Energy'!AE8/'Daily Energy'!$B9</f>
        <v>0</v>
      </c>
      <c r="AF9" s="16">
        <f>'Daily Energy'!AF9/'Daily Energy'!$B9</f>
        <v>0</v>
      </c>
      <c r="AG9" s="16">
        <f>'Daily Energy'!AG9/'Daily Energy'!$B9</f>
        <v>0</v>
      </c>
    </row>
    <row r="10" spans="1:33">
      <c r="A10" s="14" t="s">
        <v>44</v>
      </c>
      <c r="B10" s="15">
        <v>137.34</v>
      </c>
      <c r="C10" s="16">
        <v>534</v>
      </c>
      <c r="D10" s="16">
        <f>'Daily Energy'!D11/'Daily Energy'!$B10</f>
        <v>0</v>
      </c>
      <c r="E10" s="16">
        <f>'Daily Energy'!E10/'Daily Energy'!$B10</f>
        <v>0</v>
      </c>
      <c r="F10" s="16">
        <f>'Daily Energy'!F10/'Daily Energy'!$B10</f>
        <v>0</v>
      </c>
      <c r="G10" s="16">
        <f>'Daily Energy'!G10/'Daily Energy'!$B10</f>
        <v>0</v>
      </c>
      <c r="H10" s="16">
        <f>'Daily Energy'!H9/'Daily Energy'!$B10</f>
        <v>0</v>
      </c>
      <c r="I10" s="16">
        <f>'Daily Energy'!I10/'Daily Energy'!$B10</f>
        <v>0</v>
      </c>
      <c r="J10" s="16">
        <f>'Daily Energy'!J10/'Daily Energy'!$B10</f>
        <v>0</v>
      </c>
      <c r="K10" s="16">
        <f>'Daily Energy'!K10/'Daily Energy'!$B10</f>
        <v>0</v>
      </c>
      <c r="L10" s="16">
        <f>'Daily Energy'!L10/'Daily Energy'!$B10</f>
        <v>0</v>
      </c>
      <c r="M10" s="16">
        <f>'Daily Energy'!M10/'Daily Energy'!$B10</f>
        <v>0</v>
      </c>
      <c r="N10" s="16">
        <f>'Daily Energy'!N10/'Daily Energy'!$B10</f>
        <v>0</v>
      </c>
      <c r="O10" s="16">
        <f>'Daily Energy'!O10/'Daily Energy'!$B10</f>
        <v>0</v>
      </c>
      <c r="P10" s="16">
        <f>'Daily Energy'!P10/'Daily Energy'!$B10</f>
        <v>1.6819571865443426</v>
      </c>
      <c r="Q10" s="16">
        <f>'Daily Energy'!Q10/'Daily Energy'!$B10</f>
        <v>1.7183631862530944</v>
      </c>
      <c r="R10" s="16">
        <f>'Daily Energy'!R10/'Daily Energy'!$B10</f>
        <v>0</v>
      </c>
      <c r="S10" s="16">
        <f>'Daily Energy'!S10/'Daily Energy'!$B10</f>
        <v>0</v>
      </c>
      <c r="T10" s="19">
        <f>'Daily Energy'!T10/'Daily Energy'!$B10</f>
        <v>1.747487986020096</v>
      </c>
      <c r="U10" s="19">
        <f>'Daily Energy'!U10/'Daily Energy'!$B10</f>
        <v>0</v>
      </c>
      <c r="V10" s="16">
        <f>'Daily Energy'!W10/'Daily Energy'!$B10</f>
        <v>0</v>
      </c>
      <c r="W10" s="16">
        <f>'Daily Energy'!X10/'Daily Energy'!$B10</f>
        <v>0</v>
      </c>
      <c r="X10" s="16">
        <f>'Daily Energy'!Z10/'Daily Energy'!$B10</f>
        <v>0</v>
      </c>
      <c r="Y10" s="16" t="e">
        <f>'Daily Energy'!#REF!/'Daily Energy'!$B10</f>
        <v>#REF!</v>
      </c>
      <c r="Z10" s="16" t="e">
        <f>'Daily Energy'!#REF!/'Daily Energy'!$B10</f>
        <v>#REF!</v>
      </c>
      <c r="AA10" s="16">
        <f>'Daily Energy'!AA10/'Daily Energy'!$B10</f>
        <v>0</v>
      </c>
      <c r="AB10" s="16">
        <f>'Daily Energy'!AB10/'Daily Energy'!$B10</f>
        <v>0</v>
      </c>
      <c r="AC10" s="16">
        <f>'Daily Energy'!AC10/'Daily Energy'!$B10</f>
        <v>0</v>
      </c>
      <c r="AD10" s="16">
        <f>'Daily Energy'!AD10/'Daily Energy'!$B10</f>
        <v>0</v>
      </c>
      <c r="AE10" s="16">
        <f>'Daily Energy'!AE9/'Daily Energy'!$B10</f>
        <v>0</v>
      </c>
      <c r="AF10" s="16">
        <f>'Daily Energy'!AF10/'Daily Energy'!$B10</f>
        <v>0</v>
      </c>
      <c r="AG10" s="16">
        <f>'Daily Energy'!AG10/'Daily Energy'!$B10</f>
        <v>0</v>
      </c>
    </row>
    <row r="11" spans="1:33">
      <c r="A11" s="14" t="s">
        <v>45</v>
      </c>
      <c r="B11" s="15">
        <v>137.34</v>
      </c>
      <c r="C11" s="16">
        <v>533</v>
      </c>
      <c r="D11" s="16">
        <f>'Daily Energy'!D12/'Daily Energy'!$B11</f>
        <v>0</v>
      </c>
      <c r="E11" s="16">
        <f>'Daily Energy'!E11/'Daily Energy'!$B11</f>
        <v>0</v>
      </c>
      <c r="F11" s="16">
        <f>'Daily Energy'!F11/'Daily Energy'!$B11</f>
        <v>0</v>
      </c>
      <c r="G11" s="16">
        <f>'Daily Energy'!G11/'Daily Energy'!$B11</f>
        <v>0</v>
      </c>
      <c r="H11" s="16">
        <f>'Daily Energy'!H10/'Daily Energy'!$B11</f>
        <v>0</v>
      </c>
      <c r="I11" s="16">
        <f>'Daily Energy'!I11/'Daily Energy'!$B11</f>
        <v>0</v>
      </c>
      <c r="J11" s="16">
        <f>'Daily Energy'!J11/'Daily Energy'!$B11</f>
        <v>0</v>
      </c>
      <c r="K11" s="16">
        <f>'Daily Energy'!K11/'Daily Energy'!$B11</f>
        <v>0</v>
      </c>
      <c r="L11" s="16">
        <f>'Daily Energy'!L12/'Daily Energy'!$B11</f>
        <v>0</v>
      </c>
      <c r="M11" s="16">
        <f>'Daily Energy'!M11/'Daily Energy'!$B11</f>
        <v>0</v>
      </c>
      <c r="N11" s="16">
        <f>'Daily Energy'!N11/'Daily Energy'!$B11</f>
        <v>0</v>
      </c>
      <c r="O11" s="16">
        <f>'Daily Energy'!O11/'Daily Energy'!$B11</f>
        <v>0</v>
      </c>
      <c r="P11" s="16">
        <f>'Daily Energy'!P11/'Daily Energy'!$B11</f>
        <v>1.8202999854376001</v>
      </c>
      <c r="Q11" s="16">
        <f>'Daily Energy'!Q11/'Daily Energy'!$B11</f>
        <v>1.8639871850881025</v>
      </c>
      <c r="R11" s="16">
        <f>'Daily Energy'!R11/'Daily Energy'!$B11</f>
        <v>0</v>
      </c>
      <c r="S11" s="16">
        <f>'Daily Energy'!S11/'Daily Energy'!$B11</f>
        <v>0</v>
      </c>
      <c r="T11" s="19">
        <f>'Daily Energy'!T11/'Daily Energy'!$B11</f>
        <v>2.2207659822338721</v>
      </c>
      <c r="U11" s="19">
        <f>'Daily Energy'!U11/'Daily Energy'!$B11</f>
        <v>0</v>
      </c>
      <c r="V11" s="16">
        <f>'Daily Energy'!W11/'Daily Energy'!$B11</f>
        <v>0</v>
      </c>
      <c r="W11" s="16">
        <f>'Daily Energy'!X11/'Daily Energy'!$B11</f>
        <v>0</v>
      </c>
      <c r="X11" s="16">
        <f>'Daily Energy'!Z11/'Daily Energy'!$B11</f>
        <v>0</v>
      </c>
      <c r="Y11" s="16" t="e">
        <f>'Daily Energy'!#REF!/'Daily Energy'!$B11</f>
        <v>#REF!</v>
      </c>
      <c r="Z11" s="16" t="e">
        <f>'Daily Energy'!#REF!/'Daily Energy'!$B11</f>
        <v>#REF!</v>
      </c>
      <c r="AA11" s="16">
        <f>'Daily Energy'!AA11/'Daily Energy'!$B11</f>
        <v>0</v>
      </c>
      <c r="AB11" s="16">
        <f>'Daily Energy'!AB11/'Daily Energy'!$B11</f>
        <v>0</v>
      </c>
      <c r="AC11" s="16" t="e">
        <f>'Daily Energy'!#REF!/'Daily Energy'!$B11</f>
        <v>#REF!</v>
      </c>
      <c r="AD11" s="16">
        <f>'Daily Energy'!AD11/'Daily Energy'!$B11</f>
        <v>0</v>
      </c>
      <c r="AE11" s="16">
        <f>'Daily Energy'!AE10/'Daily Energy'!$B11</f>
        <v>0</v>
      </c>
      <c r="AF11" s="16">
        <f>'Daily Energy'!AF11/'Daily Energy'!$B11</f>
        <v>0</v>
      </c>
      <c r="AG11" s="16">
        <f>'Daily Energy'!AG11/'Daily Energy'!$B11</f>
        <v>0</v>
      </c>
    </row>
    <row r="12" spans="1:33">
      <c r="A12" s="14" t="s">
        <v>46</v>
      </c>
      <c r="B12" s="15">
        <v>137.34</v>
      </c>
      <c r="C12" s="16">
        <v>513</v>
      </c>
      <c r="D12" s="16">
        <f>'Daily Energy'!D13/'Daily Energy'!$B12</f>
        <v>0</v>
      </c>
      <c r="E12" s="16">
        <f>'Daily Energy'!E12/'Daily Energy'!$B12</f>
        <v>0</v>
      </c>
      <c r="F12" s="16">
        <f>'Daily Energy'!F12/'Daily Energy'!$B12</f>
        <v>0</v>
      </c>
      <c r="G12" s="16">
        <f>'Daily Energy'!G12/'Daily Energy'!$B12</f>
        <v>0</v>
      </c>
      <c r="H12" s="16">
        <f>'Daily Energy'!H11/'Daily Energy'!$B12</f>
        <v>0</v>
      </c>
      <c r="I12" s="16">
        <f>'Daily Energy'!I12/'Daily Energy'!$B12</f>
        <v>0</v>
      </c>
      <c r="J12" s="16">
        <f>'Daily Energy'!J12/'Daily Energy'!$B12</f>
        <v>0</v>
      </c>
      <c r="K12" s="16">
        <f>'Daily Energy'!K12/'Daily Energy'!$B12</f>
        <v>0</v>
      </c>
      <c r="L12" s="16">
        <f>'Daily Energy'!L13/'Daily Energy'!$B12</f>
        <v>0</v>
      </c>
      <c r="M12" s="16">
        <f>'Daily Energy'!M12/'Daily Energy'!$B12</f>
        <v>0</v>
      </c>
      <c r="N12" s="16">
        <f>'Daily Energy'!N12/'Daily Energy'!$B12</f>
        <v>0</v>
      </c>
      <c r="O12" s="16">
        <f>'Daily Energy'!O12/'Daily Energy'!$B12</f>
        <v>0</v>
      </c>
      <c r="P12" s="16">
        <f>'Daily Energy'!P12/'Daily Energy'!$B12</f>
        <v>1.8931119848551041</v>
      </c>
      <c r="Q12" s="16">
        <f>'Daily Energy'!Q12/'Daily Energy'!$B12</f>
        <v>1.747487986020096</v>
      </c>
      <c r="R12" s="16">
        <f>'Daily Energy'!R12/'Daily Energy'!$B12</f>
        <v>0</v>
      </c>
      <c r="S12" s="16">
        <f>'Daily Energy'!S12/'Daily Energy'!$B12</f>
        <v>0</v>
      </c>
      <c r="T12" s="19">
        <f>'Daily Energy'!T12/'Daily Energy'!$B12</f>
        <v>2.2717343818261249</v>
      </c>
      <c r="U12" s="19">
        <f>'Daily Energy'!U12/'Daily Energy'!$B12</f>
        <v>0</v>
      </c>
      <c r="V12" s="16">
        <f>'Daily Energy'!W12/'Daily Energy'!$B12</f>
        <v>0</v>
      </c>
      <c r="W12" s="16">
        <f>'Daily Energy'!X12/'Daily Energy'!$B12</f>
        <v>0</v>
      </c>
      <c r="X12" s="16">
        <f>'Daily Energy'!Z12/'Daily Energy'!$B12</f>
        <v>0</v>
      </c>
      <c r="Y12" s="16" t="e">
        <f>'Daily Energy'!#REF!/'Daily Energy'!$B12</f>
        <v>#REF!</v>
      </c>
      <c r="Z12" s="16" t="e">
        <f>'Daily Energy'!#REF!/'Daily Energy'!$B12</f>
        <v>#REF!</v>
      </c>
      <c r="AA12" s="16">
        <f>'Daily Energy'!AA12/'Daily Energy'!$B12</f>
        <v>0</v>
      </c>
      <c r="AB12" s="16">
        <f>'Daily Energy'!AB12/'Daily Energy'!$B12</f>
        <v>0</v>
      </c>
      <c r="AC12" s="16">
        <f>'Daily Energy'!AC11/'Daily Energy'!$B12</f>
        <v>0</v>
      </c>
      <c r="AD12" s="16">
        <f>'Daily Energy'!AD12/'Daily Energy'!$B12</f>
        <v>0</v>
      </c>
      <c r="AE12" s="16">
        <f>'Daily Energy'!AE11/'Daily Energy'!$B12</f>
        <v>0</v>
      </c>
      <c r="AF12" s="16">
        <f>'Daily Energy'!AF12/'Daily Energy'!$B12</f>
        <v>0</v>
      </c>
      <c r="AG12" s="16">
        <f>'Daily Energy'!AG12/'Daily Energy'!$B12</f>
        <v>0</v>
      </c>
    </row>
    <row r="13" spans="1:33">
      <c r="A13" s="14" t="s">
        <v>47</v>
      </c>
      <c r="B13" s="15">
        <v>137.34</v>
      </c>
      <c r="C13" s="16">
        <v>516</v>
      </c>
      <c r="D13" s="16" t="e">
        <f>'Daily Energy'!#REF!/'Daily Energy'!$B13</f>
        <v>#REF!</v>
      </c>
      <c r="E13" s="16">
        <f>'Daily Energy'!E13/'Daily Energy'!$B13</f>
        <v>0</v>
      </c>
      <c r="F13" s="16">
        <f>'Daily Energy'!F13/'Daily Energy'!$B13</f>
        <v>0</v>
      </c>
      <c r="G13" s="16">
        <f>'Daily Energy'!G13/'Daily Energy'!$B13</f>
        <v>0</v>
      </c>
      <c r="H13" s="16">
        <f>'Daily Energy'!H12/'Daily Energy'!$B13</f>
        <v>0</v>
      </c>
      <c r="I13" s="16">
        <f>'Daily Energy'!I13/'Daily Energy'!$B13</f>
        <v>0</v>
      </c>
      <c r="J13" s="16">
        <f>'Daily Energy'!J13/'Daily Energy'!$B13</f>
        <v>0</v>
      </c>
      <c r="K13" s="16">
        <f>'Daily Energy'!K13/'Daily Energy'!$B13</f>
        <v>0</v>
      </c>
      <c r="L13" s="16">
        <f>'Daily Energy'!L13/'Daily Energy'!$B13</f>
        <v>0</v>
      </c>
      <c r="M13" s="16">
        <f>'Daily Energy'!M13/'Daily Energy'!$B13</f>
        <v>0</v>
      </c>
      <c r="N13" s="16">
        <f>'Daily Energy'!N13/'Daily Energy'!$B13</f>
        <v>0</v>
      </c>
      <c r="O13" s="16">
        <f>'Daily Energy'!O13/'Daily Energy'!$B13</f>
        <v>0</v>
      </c>
      <c r="P13" s="16">
        <f>'Daily Energy'!P13/'Daily Energy'!$B13</f>
        <v>1.6819571865443426</v>
      </c>
      <c r="Q13" s="16">
        <f>'Daily Energy'!Q13/'Daily Energy'!$B13</f>
        <v>1.7256443861948449</v>
      </c>
      <c r="R13" s="16">
        <f>'Daily Energy'!R13/'Daily Energy'!$B13</f>
        <v>0</v>
      </c>
      <c r="S13" s="16">
        <f>'Daily Energy'!S13/'Daily Energy'!$B13</f>
        <v>0</v>
      </c>
      <c r="T13" s="19">
        <f>'Daily Energy'!T13/'Daily Energy'!$B13</f>
        <v>2.038735983690112</v>
      </c>
      <c r="U13" s="19">
        <f>'Daily Energy'!U13/'Daily Energy'!$B13</f>
        <v>0</v>
      </c>
      <c r="V13" s="16">
        <f>'Daily Energy'!W13/'Daily Energy'!$B13</f>
        <v>0</v>
      </c>
      <c r="W13" s="16">
        <f>'Daily Energy'!X13/'Daily Energy'!$B13</f>
        <v>0</v>
      </c>
      <c r="X13" s="16">
        <f>'Daily Energy'!Z13/'Daily Energy'!$B13</f>
        <v>0</v>
      </c>
      <c r="Y13" s="16" t="e">
        <f>'Daily Energy'!#REF!/'Daily Energy'!$B13</f>
        <v>#REF!</v>
      </c>
      <c r="Z13" s="16" t="e">
        <f>'Daily Energy'!#REF!/'Daily Energy'!$B13</f>
        <v>#REF!</v>
      </c>
      <c r="AA13" s="16">
        <f>'Daily Energy'!AA13/'Daily Energy'!$B13</f>
        <v>0</v>
      </c>
      <c r="AB13" s="16">
        <f>'Daily Energy'!AB13/'Daily Energy'!$B13</f>
        <v>0</v>
      </c>
      <c r="AC13" s="16">
        <f>'Daily Energy'!AC12/'Daily Energy'!$B13</f>
        <v>0</v>
      </c>
      <c r="AD13" s="16">
        <f>'Daily Energy'!AD13/'Daily Energy'!$B13</f>
        <v>0</v>
      </c>
      <c r="AE13" s="16">
        <f>'Daily Energy'!AE12/'Daily Energy'!$B13</f>
        <v>0</v>
      </c>
      <c r="AF13" s="16">
        <f>'Daily Energy'!AF13/'Daily Energy'!$B13</f>
        <v>0</v>
      </c>
      <c r="AG13" s="16">
        <f>'Daily Energy'!AG13/'Daily Energy'!$B13</f>
        <v>0</v>
      </c>
    </row>
    <row r="14" spans="1:33">
      <c r="A14" s="17" t="s">
        <v>48</v>
      </c>
      <c r="B14" s="18">
        <v>127.53</v>
      </c>
      <c r="C14" s="16">
        <v>477</v>
      </c>
      <c r="D14" s="19">
        <f>'Daily Energy'!D14/'Daily Energy'!$B14</f>
        <v>0</v>
      </c>
      <c r="E14" s="19">
        <f>'Daily Energy'!E14/'Daily Energy'!$B14</f>
        <v>0</v>
      </c>
      <c r="F14" s="19">
        <f>'Daily Energy'!F14/'Daily Energy'!$B14</f>
        <v>0</v>
      </c>
      <c r="G14" s="19">
        <f>'Daily Energy'!G14/'Daily Energy'!$B14</f>
        <v>0</v>
      </c>
      <c r="H14" s="19">
        <f>'Daily Energy'!H13/'Daily Energy'!$B14</f>
        <v>0</v>
      </c>
      <c r="I14" s="16">
        <f>'Daily Energy'!I14/'Daily Energy'!$B14</f>
        <v>0</v>
      </c>
      <c r="J14" s="19">
        <f>'Daily Energy'!J14/'Daily Energy'!$B14</f>
        <v>0</v>
      </c>
      <c r="K14" s="16">
        <f>'Daily Energy'!K14/'Daily Energy'!$B14</f>
        <v>0</v>
      </c>
      <c r="L14" s="16">
        <f>'Daily Energy'!L14/'Daily Energy'!$B14</f>
        <v>0</v>
      </c>
      <c r="M14" s="19">
        <f>'Daily Energy'!M14/'Daily Energy'!$B14</f>
        <v>0</v>
      </c>
      <c r="N14" s="19">
        <f>'Daily Energy'!N14/'Daily Energy'!$B14</f>
        <v>0</v>
      </c>
      <c r="O14" s="16">
        <f>'Daily Energy'!O14/'Daily Energy'!$B14</f>
        <v>0</v>
      </c>
      <c r="P14" s="19">
        <f>'Daily Energy'!P14/'Daily Energy'!$B14</f>
        <v>1.9760056457304163</v>
      </c>
      <c r="Q14" s="19">
        <f>'Daily Energy'!Q14/'Daily Energy'!$B14</f>
        <v>2.038735983690112</v>
      </c>
      <c r="R14" s="19">
        <f>'Daily Energy'!R14/'Daily Energy'!$B14</f>
        <v>0</v>
      </c>
      <c r="S14" s="19">
        <f>'Daily Energy'!S14/'Daily Energy'!$B14</f>
        <v>0</v>
      </c>
      <c r="T14" s="19">
        <f>'Daily Energy'!T14/'Daily Energy'!$B14</f>
        <v>2.4308005959382104</v>
      </c>
      <c r="U14" s="19">
        <f>'Daily Energy'!U14/'Daily Energy'!$B14</f>
        <v>0</v>
      </c>
      <c r="V14" s="19">
        <f>'Daily Energy'!W14/'Daily Energy'!$B14</f>
        <v>0</v>
      </c>
      <c r="W14" s="19">
        <f>'Daily Energy'!X14/'Daily Energy'!$B14</f>
        <v>0</v>
      </c>
      <c r="X14" s="19">
        <f>'Daily Energy'!Z14/'Daily Energy'!$B14</f>
        <v>0</v>
      </c>
      <c r="Y14" s="19" t="e">
        <f>'Daily Energy'!#REF!/'Daily Energy'!$B14</f>
        <v>#REF!</v>
      </c>
      <c r="Z14" s="19" t="e">
        <f>'Daily Energy'!#REF!/'Daily Energy'!$B14</f>
        <v>#REF!</v>
      </c>
      <c r="AA14" s="19">
        <f>'Daily Energy'!AA14/'Daily Energy'!$B14</f>
        <v>0</v>
      </c>
      <c r="AB14" s="19">
        <f>'Daily Energy'!AB14/'Daily Energy'!$B14</f>
        <v>0</v>
      </c>
      <c r="AC14" s="16">
        <f>'Daily Energy'!AC13/'Daily Energy'!$B14</f>
        <v>0</v>
      </c>
      <c r="AD14" s="16">
        <f>'Daily Energy'!AD14/'Daily Energy'!$B14</f>
        <v>0</v>
      </c>
      <c r="AE14" s="19">
        <f>'Daily Energy'!AE13/'Daily Energy'!$B14</f>
        <v>0</v>
      </c>
      <c r="AF14" s="19">
        <f>'Daily Energy'!AF14/'Daily Energy'!$B14</f>
        <v>0</v>
      </c>
      <c r="AG14" s="19">
        <f>'Daily Energy'!AG14/'Daily Energy'!$B14</f>
        <v>0</v>
      </c>
    </row>
    <row r="15" spans="1:33">
      <c r="A15" s="14" t="s">
        <v>49</v>
      </c>
      <c r="B15" s="18">
        <v>127.53</v>
      </c>
      <c r="C15" s="16">
        <v>473</v>
      </c>
      <c r="D15" s="19">
        <f>'Daily Energy'!D15/'Daily Energy'!$B15</f>
        <v>0</v>
      </c>
      <c r="E15" s="19">
        <f>'Daily Energy'!E15/'Daily Energy'!$B15</f>
        <v>0</v>
      </c>
      <c r="F15" s="19">
        <f>'Daily Energy'!F15/'Daily Energy'!$B15</f>
        <v>0</v>
      </c>
      <c r="G15" s="19">
        <f>'Daily Energy'!G15/'Daily Energy'!$B15</f>
        <v>0</v>
      </c>
      <c r="H15" s="19">
        <f>'Daily Energy'!H14/'Daily Energy'!$B15</f>
        <v>0</v>
      </c>
      <c r="I15" s="16">
        <f>'Daily Energy'!I15/'Daily Energy'!$B15</f>
        <v>0</v>
      </c>
      <c r="J15" s="19">
        <f>'Daily Energy'!J15/'Daily Energy'!$B15</f>
        <v>0</v>
      </c>
      <c r="K15" s="16">
        <f>'Daily Energy'!K15/'Daily Energy'!$B15</f>
        <v>0</v>
      </c>
      <c r="L15" s="16">
        <f>'Daily Energy'!L15/'Daily Energy'!$B15</f>
        <v>0</v>
      </c>
      <c r="M15" s="19">
        <f>'Daily Energy'!M15/'Daily Energy'!$B15</f>
        <v>0</v>
      </c>
      <c r="N15" s="19">
        <f>'Daily Energy'!N15/'Daily Energy'!$B15</f>
        <v>0</v>
      </c>
      <c r="O15" s="16">
        <f>'Daily Energy'!O15/'Daily Energy'!$B15</f>
        <v>0</v>
      </c>
      <c r="P15" s="19">
        <f>'Daily Energy'!P15/'Daily Energy'!$B15</f>
        <v>1.8740688465459108</v>
      </c>
      <c r="Q15" s="19">
        <f>'Daily Energy'!Q15/'Daily Energy'!$B15</f>
        <v>1.9603230612404925</v>
      </c>
      <c r="R15" s="19">
        <f>'Daily Energy'!R15/'Daily Energy'!$B15</f>
        <v>0</v>
      </c>
      <c r="S15" s="19">
        <f>'Daily Energy'!S15/'Daily Energy'!$B15</f>
        <v>0</v>
      </c>
      <c r="T15" s="19">
        <f>'Daily Energy'!T16/'Daily Energy'!$B15</f>
        <v>0</v>
      </c>
      <c r="U15" s="19">
        <f>'Daily Energy'!U15/'Daily Energy'!$B15</f>
        <v>0</v>
      </c>
      <c r="V15" s="19">
        <f>'Daily Energy'!W15/'Daily Energy'!$B15</f>
        <v>0</v>
      </c>
      <c r="W15" s="19">
        <f>'Daily Energy'!X15/'Daily Energy'!$B15</f>
        <v>0</v>
      </c>
      <c r="X15" s="19">
        <f>'Daily Energy'!Z15/'Daily Energy'!$B15</f>
        <v>0</v>
      </c>
      <c r="Y15" s="19" t="e">
        <f>'Daily Energy'!#REF!/'Daily Energy'!$B15</f>
        <v>#REF!</v>
      </c>
      <c r="Z15" s="19" t="e">
        <f>'Daily Energy'!#REF!/'Daily Energy'!$B15</f>
        <v>#REF!</v>
      </c>
      <c r="AA15" s="19">
        <f>'Daily Energy'!AA15/'Daily Energy'!$B15</f>
        <v>0</v>
      </c>
      <c r="AB15" s="19">
        <f>'Daily Energy'!AB15/'Daily Energy'!$B15</f>
        <v>0</v>
      </c>
      <c r="AC15" s="16">
        <f>'Daily Energy'!AC14/'Daily Energy'!$B15</f>
        <v>0</v>
      </c>
      <c r="AD15" s="16">
        <f>'Daily Energy'!AD15/'Daily Energy'!$B15</f>
        <v>0</v>
      </c>
      <c r="AE15" s="19">
        <f>'Daily Energy'!AE14/'Daily Energy'!$B15</f>
        <v>0</v>
      </c>
      <c r="AF15" s="19">
        <f>'Daily Energy'!AF15/'Daily Energy'!$B15</f>
        <v>0</v>
      </c>
      <c r="AG15" s="19">
        <f>'Daily Energy'!AG15/'Daily Energy'!$B15</f>
        <v>0</v>
      </c>
    </row>
    <row r="16" spans="1:33">
      <c r="A16" s="14" t="s">
        <v>50</v>
      </c>
      <c r="B16" s="18">
        <v>127.53</v>
      </c>
      <c r="C16" s="19">
        <v>470</v>
      </c>
      <c r="D16" s="19">
        <f>'Daily Energy'!D16/'Daily Energy'!$B16</f>
        <v>0</v>
      </c>
      <c r="E16" s="19">
        <f>'Daily Energy'!E16/'Daily Energy'!$B16</f>
        <v>0</v>
      </c>
      <c r="F16" s="19">
        <f>'Daily Energy'!F16/'Daily Energy'!$B16</f>
        <v>0</v>
      </c>
      <c r="G16" s="19">
        <f>'Daily Energy'!G16/'Daily Energy'!$B16</f>
        <v>0</v>
      </c>
      <c r="H16" s="19">
        <f>'Daily Energy'!H15/'Daily Energy'!$B16</f>
        <v>0</v>
      </c>
      <c r="I16" s="16">
        <f>'Daily Energy'!I16/'Daily Energy'!$B16</f>
        <v>0</v>
      </c>
      <c r="J16" s="19">
        <f>'Daily Energy'!J16/'Daily Energy'!$B16</f>
        <v>0</v>
      </c>
      <c r="K16" s="16">
        <f>'Daily Energy'!K16/'Daily Energy'!$B16</f>
        <v>0</v>
      </c>
      <c r="L16" s="16">
        <f>'Daily Energy'!L16/'Daily Energy'!$B16</f>
        <v>0</v>
      </c>
      <c r="M16" s="19">
        <f>'Daily Energy'!M16/'Daily Energy'!$B16</f>
        <v>0</v>
      </c>
      <c r="N16" s="19">
        <f>'Daily Energy'!N16/'Daily Energy'!$B16</f>
        <v>0</v>
      </c>
      <c r="O16" s="16">
        <f>'Daily Energy'!O16/'Daily Energy'!$B16</f>
        <v>0</v>
      </c>
      <c r="P16" s="19">
        <f>'Daily Energy'!P16/'Daily Energy'!$B16</f>
        <v>0</v>
      </c>
      <c r="Q16" s="19">
        <f>'Daily Energy'!Q16/'Daily Energy'!$B16</f>
        <v>0</v>
      </c>
      <c r="R16" s="19">
        <f>'Daily Energy'!R16/'Daily Energy'!$B16</f>
        <v>0</v>
      </c>
      <c r="S16" s="19">
        <f>'Daily Energy'!S16/'Daily Energy'!$B16</f>
        <v>0</v>
      </c>
      <c r="T16" s="19">
        <f>'Daily Energy'!T17/'Daily Energy'!$B16</f>
        <v>0</v>
      </c>
      <c r="U16" s="19">
        <f>'Daily Energy'!U16/'Daily Energy'!$B16</f>
        <v>0</v>
      </c>
      <c r="V16" s="19">
        <f>'Daily Energy'!W16/'Daily Energy'!$B16</f>
        <v>0</v>
      </c>
      <c r="W16" s="19">
        <f>'Daily Energy'!X16/'Daily Energy'!$B16</f>
        <v>0</v>
      </c>
      <c r="X16" s="19">
        <f>'Daily Energy'!Z16/'Daily Energy'!$B16</f>
        <v>0</v>
      </c>
      <c r="Y16" s="19" t="e">
        <f>'Daily Energy'!#REF!/'Daily Energy'!$B16</f>
        <v>#REF!</v>
      </c>
      <c r="Z16" s="19" t="e">
        <f>'Daily Energy'!#REF!/'Daily Energy'!$B16</f>
        <v>#REF!</v>
      </c>
      <c r="AA16" s="19">
        <f>'Daily Energy'!AA16/'Daily Energy'!$B16</f>
        <v>0</v>
      </c>
      <c r="AB16" s="19">
        <f>'Daily Energy'!AB16/'Daily Energy'!$B16</f>
        <v>0</v>
      </c>
      <c r="AC16" s="16">
        <f>'Daily Energy'!AC15/'Daily Energy'!$B16</f>
        <v>0</v>
      </c>
      <c r="AD16" s="16">
        <f>'Daily Energy'!AD16/'Daily Energy'!$B16</f>
        <v>0</v>
      </c>
      <c r="AE16" s="19">
        <f>'Daily Energy'!AE15/'Daily Energy'!$B16</f>
        <v>0</v>
      </c>
      <c r="AF16" s="19">
        <f>'Daily Energy'!AF16/'Daily Energy'!$B16</f>
        <v>0</v>
      </c>
      <c r="AG16" s="19">
        <f>'Daily Energy'!AG16/'Daily Energy'!$B16</f>
        <v>0</v>
      </c>
    </row>
    <row r="17" spans="1:33">
      <c r="A17" s="14" t="s">
        <v>51</v>
      </c>
      <c r="B17" s="18">
        <v>127.53</v>
      </c>
      <c r="C17" s="19">
        <v>465</v>
      </c>
      <c r="D17" s="19">
        <f>'Daily Energy'!D17/'Daily Energy'!$B17</f>
        <v>0</v>
      </c>
      <c r="E17" s="19">
        <f>'Daily Energy'!E17/'Daily Energy'!$B17</f>
        <v>0</v>
      </c>
      <c r="F17" s="19">
        <f>'Daily Energy'!F17/'Daily Energy'!$B17</f>
        <v>0</v>
      </c>
      <c r="G17" s="19">
        <f>'Daily Energy'!G17/'Daily Energy'!$B17</f>
        <v>0</v>
      </c>
      <c r="H17" s="19">
        <f>'Daily Energy'!H16/'Daily Energy'!$B17</f>
        <v>0</v>
      </c>
      <c r="I17" s="16">
        <f>'Daily Energy'!I17/'Daily Energy'!$B17</f>
        <v>0</v>
      </c>
      <c r="J17" s="19">
        <f>'Daily Energy'!J17/'Daily Energy'!$B17</f>
        <v>0</v>
      </c>
      <c r="K17" s="16">
        <f>'Daily Energy'!K17/'Daily Energy'!$B17</f>
        <v>0</v>
      </c>
      <c r="L17" s="16">
        <f>'Daily Energy'!L17/'Daily Energy'!$B17</f>
        <v>0</v>
      </c>
      <c r="M17" s="19">
        <f>'Daily Energy'!M17/'Daily Energy'!$B17</f>
        <v>0</v>
      </c>
      <c r="N17" s="19">
        <f>'Daily Energy'!N17/'Daily Energy'!$B17</f>
        <v>0</v>
      </c>
      <c r="O17" s="16">
        <f>'Daily Energy'!O17/'Daily Energy'!$B17</f>
        <v>0</v>
      </c>
      <c r="P17" s="19">
        <f>'Daily Energy'!P17/'Daily Energy'!$B17</f>
        <v>0</v>
      </c>
      <c r="Q17" s="19">
        <f>'Daily Energy'!Q17/'Daily Energy'!$B17</f>
        <v>0</v>
      </c>
      <c r="R17" s="19">
        <f>'Daily Energy'!R17/'Daily Energy'!$B17</f>
        <v>0</v>
      </c>
      <c r="S17" s="19">
        <f>'Daily Energy'!S17/'Daily Energy'!$B17</f>
        <v>0</v>
      </c>
      <c r="T17" s="19">
        <f>'Daily Energy'!T18/'Daily Energy'!$B17</f>
        <v>0</v>
      </c>
      <c r="U17" s="19">
        <f>'Daily Energy'!U17/'Daily Energy'!$B17</f>
        <v>0</v>
      </c>
      <c r="V17" s="19">
        <f>'Daily Energy'!W17/'Daily Energy'!$B17</f>
        <v>0</v>
      </c>
      <c r="W17" s="19">
        <f>'Daily Energy'!X17/'Daily Energy'!$B17</f>
        <v>0</v>
      </c>
      <c r="X17" s="19">
        <f>'Daily Energy'!Z17/'Daily Energy'!$B17</f>
        <v>0</v>
      </c>
      <c r="Y17" s="19" t="e">
        <f>'Daily Energy'!#REF!/'Daily Energy'!$B17</f>
        <v>#REF!</v>
      </c>
      <c r="Z17" s="19" t="e">
        <f>'Daily Energy'!#REF!/'Daily Energy'!$B17</f>
        <v>#REF!</v>
      </c>
      <c r="AA17" s="19">
        <f>'Daily Energy'!AA17/'Daily Energy'!$B17</f>
        <v>0</v>
      </c>
      <c r="AB17" s="19">
        <f>'Daily Energy'!AB17/'Daily Energy'!$B17</f>
        <v>0</v>
      </c>
      <c r="AC17" s="16">
        <f>'Daily Energy'!AC16/'Daily Energy'!$B17</f>
        <v>0</v>
      </c>
      <c r="AD17" s="16">
        <f>'Daily Energy'!AD17/'Daily Energy'!$B17</f>
        <v>0</v>
      </c>
      <c r="AE17" s="19">
        <f>'Daily Energy'!AE16/'Daily Energy'!$B17</f>
        <v>0</v>
      </c>
      <c r="AF17" s="19">
        <f>'Daily Energy'!AF17/'Daily Energy'!$B17</f>
        <v>0</v>
      </c>
      <c r="AG17" s="19">
        <f>'Daily Energy'!AG17/'Daily Energy'!$B17</f>
        <v>0</v>
      </c>
    </row>
    <row r="18" spans="1:33">
      <c r="A18" s="14" t="s">
        <v>52</v>
      </c>
      <c r="B18" s="18">
        <v>127.53</v>
      </c>
      <c r="C18" s="16">
        <v>478</v>
      </c>
      <c r="D18" s="16">
        <f>'Daily Energy'!D18/'Daily Energy'!$B18</f>
        <v>0</v>
      </c>
      <c r="E18" s="16">
        <f>'Daily Energy'!E18/'Daily Energy'!$B18</f>
        <v>0</v>
      </c>
      <c r="F18" s="16">
        <f>'Daily Energy'!F18/'Daily Energy'!$B18</f>
        <v>0</v>
      </c>
      <c r="G18" s="16">
        <f>'Daily Energy'!G18/'Daily Energy'!$B18</f>
        <v>0</v>
      </c>
      <c r="H18" s="16">
        <f>'Daily Energy'!H17/'Daily Energy'!$B18</f>
        <v>0</v>
      </c>
      <c r="I18" s="16">
        <f>'Daily Energy'!I14/'Daily Energy'!$B14</f>
        <v>0</v>
      </c>
      <c r="J18" s="16">
        <f>'Daily Energy'!J18/'Daily Energy'!$B18</f>
        <v>0</v>
      </c>
      <c r="K18" s="16">
        <f>'Daily Energy'!K18/'Daily Energy'!$B18</f>
        <v>0</v>
      </c>
      <c r="L18" s="16">
        <f>'Daily Energy'!L18/'Daily Energy'!$B18</f>
        <v>0</v>
      </c>
      <c r="M18" s="16">
        <f>'Daily Energy'!M18/'Daily Energy'!$B18</f>
        <v>0</v>
      </c>
      <c r="N18" s="16">
        <f>'Daily Energy'!N18/'Daily Energy'!$B18</f>
        <v>0</v>
      </c>
      <c r="O18" s="16">
        <f>'Daily Energy'!O14/'Daily Energy'!$B14</f>
        <v>0</v>
      </c>
      <c r="P18" s="16">
        <f>'Daily Energy'!P18/'Daily Energy'!$B18</f>
        <v>0</v>
      </c>
      <c r="Q18" s="16">
        <f>'Daily Energy'!Q18/'Daily Energy'!$B18</f>
        <v>0</v>
      </c>
      <c r="R18" s="16">
        <f>'Daily Energy'!R18/'Daily Energy'!$B18</f>
        <v>0</v>
      </c>
      <c r="S18" s="16">
        <f>'Daily Energy'!S18/'Daily Energy'!$B18</f>
        <v>0</v>
      </c>
      <c r="T18" s="16">
        <f>'Daily Energy'!T19/'Daily Energy'!$B18</f>
        <v>0</v>
      </c>
      <c r="U18" s="16">
        <f>'Daily Energy'!U18/'Daily Energy'!$B18</f>
        <v>0</v>
      </c>
      <c r="V18" s="16">
        <f>'Daily Energy'!W18/'Daily Energy'!$B18</f>
        <v>0</v>
      </c>
      <c r="W18" s="16">
        <f>'Daily Energy'!X18/'Daily Energy'!$B18</f>
        <v>0</v>
      </c>
      <c r="X18" s="16">
        <f>'Daily Energy'!Z18/'Daily Energy'!$B18</f>
        <v>0</v>
      </c>
      <c r="Y18" s="16" t="e">
        <f>'Daily Energy'!#REF!/'Daily Energy'!$B18</f>
        <v>#REF!</v>
      </c>
      <c r="Z18" s="16" t="e">
        <f>'Daily Energy'!#REF!/'Daily Energy'!$B18</f>
        <v>#REF!</v>
      </c>
      <c r="AA18" s="16">
        <f>'Daily Energy'!AA18/'Daily Energy'!$B18</f>
        <v>0</v>
      </c>
      <c r="AB18" s="16">
        <f>'Daily Energy'!AB18/'Daily Energy'!$B18</f>
        <v>0</v>
      </c>
      <c r="AC18" s="16">
        <f>'Daily Energy'!AC17/'Daily Energy'!$B18</f>
        <v>0</v>
      </c>
      <c r="AD18" s="16">
        <f>'Daily Energy'!AD18/'Daily Energy'!$B18</f>
        <v>0</v>
      </c>
      <c r="AE18" s="16">
        <f>'Daily Energy'!AE17/'Daily Energy'!$B18</f>
        <v>0</v>
      </c>
      <c r="AF18" s="16">
        <f>'Daily Energy'!AF18/'Daily Energy'!$B18</f>
        <v>0</v>
      </c>
      <c r="AG18" s="16">
        <f>'Daily Energy'!AG18/'Daily Energy'!$B18</f>
        <v>0</v>
      </c>
    </row>
    <row r="19" spans="1:33">
      <c r="A19" s="14" t="s">
        <v>53</v>
      </c>
      <c r="B19" s="18">
        <v>127.53</v>
      </c>
      <c r="C19" s="16">
        <v>480</v>
      </c>
      <c r="D19" s="16">
        <f>'Daily Energy'!D19/'Daily Energy'!$B19</f>
        <v>0</v>
      </c>
      <c r="E19" s="16">
        <f>'Daily Energy'!E19/'Daily Energy'!$B19</f>
        <v>0</v>
      </c>
      <c r="F19" s="16">
        <f>'Daily Energy'!F19/'Daily Energy'!$B19</f>
        <v>0</v>
      </c>
      <c r="G19" s="16">
        <f>'Daily Energy'!G19/'Daily Energy'!$B19</f>
        <v>0</v>
      </c>
      <c r="H19" s="16">
        <f>'Daily Energy'!H18/'Daily Energy'!$B19</f>
        <v>0</v>
      </c>
      <c r="I19" s="16">
        <f>'Daily Energy'!I19/'Daily Energy'!$B19</f>
        <v>0</v>
      </c>
      <c r="J19" s="16">
        <f>'Daily Energy'!J19/'Daily Energy'!$B19</f>
        <v>0</v>
      </c>
      <c r="K19" s="16">
        <f>'Daily Energy'!K19/'Daily Energy'!$B19</f>
        <v>0</v>
      </c>
      <c r="L19" s="16">
        <f>'Daily Energy'!L19/'Daily Energy'!$B19</f>
        <v>0</v>
      </c>
      <c r="M19" s="16">
        <f>'Daily Energy'!M19/'Daily Energy'!$B19</f>
        <v>0</v>
      </c>
      <c r="N19" s="16">
        <f>'Daily Energy'!N19/'Daily Energy'!$B19</f>
        <v>0</v>
      </c>
      <c r="O19" s="16">
        <f>'Daily Energy'!O19/'Daily Energy'!$B19</f>
        <v>0</v>
      </c>
      <c r="P19" s="16">
        <f>'Daily Energy'!P19/'Daily Energy'!$B19</f>
        <v>0</v>
      </c>
      <c r="Q19" s="16">
        <f>'Daily Energy'!Q19/'Daily Energy'!$B19</f>
        <v>0</v>
      </c>
      <c r="R19" s="16">
        <f>'Daily Energy'!R19/'Daily Energy'!$B19</f>
        <v>0</v>
      </c>
      <c r="S19" s="16">
        <f>'Daily Energy'!S19/'Daily Energy'!$B19</f>
        <v>0</v>
      </c>
      <c r="T19" s="16">
        <f>'Daily Energy'!T20/'Daily Energy'!$B19</f>
        <v>0</v>
      </c>
      <c r="U19" s="16">
        <f>'Daily Energy'!U19/'Daily Energy'!$B19</f>
        <v>0</v>
      </c>
      <c r="V19" s="16">
        <f>'Daily Energy'!W19/'Daily Energy'!$B19</f>
        <v>0</v>
      </c>
      <c r="W19" s="16">
        <f>'Daily Energy'!X19/'Daily Energy'!$B19</f>
        <v>0</v>
      </c>
      <c r="X19" s="16">
        <f>'Daily Energy'!Z19/'Daily Energy'!$B19</f>
        <v>0</v>
      </c>
      <c r="Y19" s="16" t="e">
        <f>'Daily Energy'!#REF!/'Daily Energy'!$B19</f>
        <v>#REF!</v>
      </c>
      <c r="Z19" s="16" t="e">
        <f>'Daily Energy'!#REF!/'Daily Energy'!$B19</f>
        <v>#REF!</v>
      </c>
      <c r="AA19" s="16">
        <f>'Daily Energy'!AA19/'Daily Energy'!$B19</f>
        <v>0</v>
      </c>
      <c r="AB19" s="16">
        <f>'Daily Energy'!AB19/'Daily Energy'!$B19</f>
        <v>0</v>
      </c>
      <c r="AC19" s="16">
        <f>'Daily Energy'!AC19/'Daily Energy'!$B19</f>
        <v>0</v>
      </c>
      <c r="AD19" s="16">
        <f>'Daily Energy'!AD19/'Daily Energy'!$B19</f>
        <v>0</v>
      </c>
      <c r="AE19" s="16">
        <f>'Daily Energy'!AE18/'Daily Energy'!$B19</f>
        <v>0</v>
      </c>
      <c r="AF19" s="16">
        <f>'Daily Energy'!AF19/'Daily Energy'!$B19</f>
        <v>0</v>
      </c>
      <c r="AG19" s="16">
        <f>'Daily Energy'!AG19/'Daily Energy'!$B19</f>
        <v>0</v>
      </c>
    </row>
    <row r="20" spans="1:33">
      <c r="A20" s="14" t="s">
        <v>54</v>
      </c>
      <c r="B20" s="20">
        <v>137.34</v>
      </c>
      <c r="C20" s="16">
        <v>462</v>
      </c>
      <c r="D20" s="16">
        <f>'Daily Energy'!D20/'Daily Energy'!$B20</f>
        <v>0</v>
      </c>
      <c r="E20" s="16">
        <f>'Daily Energy'!E20/'Daily Energy'!$B20</f>
        <v>0</v>
      </c>
      <c r="F20" s="16">
        <f>'Daily Energy'!F20/'Daily Energy'!$B20</f>
        <v>0</v>
      </c>
      <c r="G20" s="16">
        <f>'Daily Energy'!G20/'Daily Energy'!$B20</f>
        <v>0</v>
      </c>
      <c r="H20" s="16">
        <f>'Daily Energy'!H20/'Daily Energy'!$B20</f>
        <v>0</v>
      </c>
      <c r="I20" s="16">
        <f>'Daily Energy'!I20/'Daily Energy'!$B20</f>
        <v>0</v>
      </c>
      <c r="J20" s="16">
        <f>'Daily Energy'!J20/'Daily Energy'!$B20</f>
        <v>0</v>
      </c>
      <c r="K20" s="16">
        <f>'Daily Energy'!K20/'Daily Energy'!$B20</f>
        <v>0</v>
      </c>
      <c r="L20" s="16">
        <f>'Daily Energy'!L20/'Daily Energy'!$B20</f>
        <v>0</v>
      </c>
      <c r="M20" s="16">
        <f>'Daily Energy'!M20/'Daily Energy'!$B20</f>
        <v>0</v>
      </c>
      <c r="N20" s="16">
        <f>'Daily Energy'!N20/'Daily Energy'!$B20</f>
        <v>0</v>
      </c>
      <c r="O20" s="16">
        <f>'Daily Energy'!O20/'Daily Energy'!$B20</f>
        <v>0</v>
      </c>
      <c r="P20" s="16">
        <f>'Daily Energy'!P20/'Daily Energy'!$B20</f>
        <v>0</v>
      </c>
      <c r="Q20" s="16">
        <f>'Daily Energy'!Q20/'Daily Energy'!$B20</f>
        <v>0</v>
      </c>
      <c r="R20" s="16">
        <f>'Daily Energy'!R20/'Daily Energy'!$B20</f>
        <v>0</v>
      </c>
      <c r="S20" s="16">
        <f>'Daily Energy'!S20/'Daily Energy'!$B20</f>
        <v>0</v>
      </c>
      <c r="T20" s="16">
        <f>'Daily Energy'!T21/'Daily Energy'!$B20</f>
        <v>0</v>
      </c>
      <c r="U20" s="16">
        <f>'Daily Energy'!U20/'Daily Energy'!$B20</f>
        <v>0</v>
      </c>
      <c r="V20" s="16">
        <f>'Daily Energy'!W20/'Daily Energy'!$B20</f>
        <v>0</v>
      </c>
      <c r="W20" s="16">
        <f>'Daily Energy'!X20/'Daily Energy'!$B20</f>
        <v>0</v>
      </c>
      <c r="X20" s="16">
        <f>'Daily Energy'!Y20/'Daily Energy'!$B20</f>
        <v>0</v>
      </c>
      <c r="Y20" s="16" t="e">
        <f>'Daily Energy'!#REF!/'Daily Energy'!$B20</f>
        <v>#REF!</v>
      </c>
      <c r="Z20" s="16">
        <f>'Daily Energy'!Z20/'Daily Energy'!$B20</f>
        <v>0</v>
      </c>
      <c r="AA20" s="16">
        <f>'Daily Energy'!AA20/'Daily Energy'!$B20</f>
        <v>0</v>
      </c>
      <c r="AB20" s="16">
        <f>'Daily Energy'!AB20/'Daily Energy'!$B20</f>
        <v>0</v>
      </c>
      <c r="AC20" s="16">
        <f>'Daily Energy'!AC20/'Daily Energy'!$B20</f>
        <v>0</v>
      </c>
      <c r="AD20" s="16">
        <f>'Daily Energy'!AD20/'Daily Energy'!$B20</f>
        <v>0</v>
      </c>
      <c r="AE20" s="16">
        <f>'Daily Energy'!AE19/'Daily Energy'!$B20</f>
        <v>0</v>
      </c>
      <c r="AF20" s="16">
        <f>'Daily Energy'!AF20/'Daily Energy'!$B20</f>
        <v>0</v>
      </c>
      <c r="AG20" s="16">
        <f>'Daily Energy'!AG20/'Daily Energy'!$B20</f>
        <v>0</v>
      </c>
    </row>
    <row r="21" spans="1:33">
      <c r="A21" s="14" t="s">
        <v>55</v>
      </c>
      <c r="B21" s="20">
        <v>137.34</v>
      </c>
      <c r="C21" s="16">
        <v>494</v>
      </c>
      <c r="D21" s="16">
        <f>'Daily Energy'!D21/'Daily Energy'!$B21</f>
        <v>0</v>
      </c>
      <c r="E21" s="16">
        <f>'Daily Energy'!E21/'Daily Energy'!$B21</f>
        <v>0</v>
      </c>
      <c r="F21" s="16">
        <f>'Daily Energy'!F21/'Daily Energy'!$B21</f>
        <v>0</v>
      </c>
      <c r="G21" s="16">
        <f>'Daily Energy'!G21/'Daily Energy'!$B21</f>
        <v>0</v>
      </c>
      <c r="H21" s="16">
        <f>'Daily Energy'!H21/'Daily Energy'!$B21</f>
        <v>0</v>
      </c>
      <c r="I21" s="16">
        <f>'Daily Energy'!I21/'Daily Energy'!$B21</f>
        <v>0</v>
      </c>
      <c r="J21" s="16">
        <f>'Daily Energy'!J21/'Daily Energy'!$B21</f>
        <v>0</v>
      </c>
      <c r="K21" s="16">
        <f>'Daily Energy'!K21/'Daily Energy'!$B21</f>
        <v>0</v>
      </c>
      <c r="L21" s="16">
        <f>'Daily Energy'!L21/'Daily Energy'!$B21</f>
        <v>0</v>
      </c>
      <c r="M21" s="16">
        <f>'Daily Energy'!M21/'Daily Energy'!$B21</f>
        <v>0</v>
      </c>
      <c r="N21" s="16">
        <f>'Daily Energy'!N21/'Daily Energy'!$B21</f>
        <v>0</v>
      </c>
      <c r="O21" s="16">
        <f>'Daily Energy'!O22/'Daily Energy'!$B21</f>
        <v>0</v>
      </c>
      <c r="P21" s="16">
        <f>'Daily Energy'!P21/'Daily Energy'!$B21</f>
        <v>0</v>
      </c>
      <c r="Q21" s="16">
        <f>'Daily Energy'!Q21/'Daily Energy'!$B21</f>
        <v>0</v>
      </c>
      <c r="R21" s="16">
        <f>'Daily Energy'!R21/'Daily Energy'!$B21</f>
        <v>0</v>
      </c>
      <c r="S21" s="16">
        <f>'Daily Energy'!S21/'Daily Energy'!$B21</f>
        <v>0</v>
      </c>
      <c r="T21" s="16">
        <f>'Daily Energy'!T22/'Daily Energy'!$B21</f>
        <v>0</v>
      </c>
      <c r="U21" s="16">
        <f>'Daily Energy'!U21/'Daily Energy'!$B21</f>
        <v>0</v>
      </c>
      <c r="V21" s="16">
        <f>'Daily Energy'!W21/'Daily Energy'!$B21</f>
        <v>0</v>
      </c>
      <c r="W21" s="16">
        <f>'Daily Energy'!X21/'Daily Energy'!$B21</f>
        <v>0</v>
      </c>
      <c r="X21" s="16">
        <f>'Daily Energy'!Y21/'Daily Energy'!$B21</f>
        <v>0</v>
      </c>
      <c r="Y21" s="16" t="e">
        <f>'Daily Energy'!#REF!/'Daily Energy'!$B21</f>
        <v>#REF!</v>
      </c>
      <c r="Z21" s="16">
        <f>'Daily Energy'!Z21/'Daily Energy'!$B21</f>
        <v>0</v>
      </c>
      <c r="AA21" s="16">
        <f>'Daily Energy'!AA21/'Daily Energy'!$B21</f>
        <v>0</v>
      </c>
      <c r="AB21" s="16">
        <f>'Daily Energy'!AB21/'Daily Energy'!$B21</f>
        <v>0</v>
      </c>
      <c r="AC21" s="16">
        <f>'Daily Energy'!AC21/'Daily Energy'!$B21</f>
        <v>0</v>
      </c>
      <c r="AD21" s="16">
        <f>'Daily Energy'!AD21/'Daily Energy'!$B21</f>
        <v>0</v>
      </c>
      <c r="AE21" s="16">
        <f>'Daily Energy'!AE20/'Daily Energy'!$B21</f>
        <v>0</v>
      </c>
      <c r="AF21" s="16">
        <f>'Daily Energy'!AF21/'Daily Energy'!$B21</f>
        <v>0</v>
      </c>
      <c r="AG21" s="16">
        <f>'Daily Energy'!AG21/'Daily Energy'!$B21</f>
        <v>0</v>
      </c>
    </row>
    <row r="22" spans="1:33">
      <c r="A22" s="14" t="s">
        <v>56</v>
      </c>
      <c r="B22" s="20">
        <v>137.34</v>
      </c>
      <c r="C22" s="16">
        <v>480</v>
      </c>
      <c r="D22" s="16">
        <f>'Daily Energy'!D22/'Daily Energy'!$B22</f>
        <v>0</v>
      </c>
      <c r="E22" s="16">
        <f>'Daily Energy'!E22/'Daily Energy'!$B22</f>
        <v>0</v>
      </c>
      <c r="F22" s="16">
        <f>'Daily Energy'!F22/'Daily Energy'!$B22</f>
        <v>0</v>
      </c>
      <c r="G22" s="16">
        <f>'Daily Energy'!G22/'Daily Energy'!$B22</f>
        <v>0</v>
      </c>
      <c r="H22" s="16">
        <f>'Daily Energy'!H22/'Daily Energy'!$B22</f>
        <v>0</v>
      </c>
      <c r="I22" s="16">
        <f>'Daily Energy'!I22/'Daily Energy'!$B22</f>
        <v>0</v>
      </c>
      <c r="J22" s="16">
        <f>'Daily Energy'!J22/'Daily Energy'!$B22</f>
        <v>0</v>
      </c>
      <c r="K22" s="16">
        <f>'Daily Energy'!K22/'Daily Energy'!$B22</f>
        <v>0</v>
      </c>
      <c r="L22" s="16">
        <f>'Daily Energy'!L22/'Daily Energy'!$B22</f>
        <v>0</v>
      </c>
      <c r="M22" s="16">
        <f>'Daily Energy'!M22/'Daily Energy'!$B22</f>
        <v>0</v>
      </c>
      <c r="N22" s="16">
        <f>'Daily Energy'!N22/'Daily Energy'!$B22</f>
        <v>0</v>
      </c>
      <c r="O22" s="16">
        <f>'Daily Energy'!O23/'Daily Energy'!$B22</f>
        <v>0</v>
      </c>
      <c r="P22" s="16">
        <f>'Daily Energy'!P22/'Daily Energy'!$B22</f>
        <v>0</v>
      </c>
      <c r="Q22" s="16">
        <f>'Daily Energy'!Q22/'Daily Energy'!$B22</f>
        <v>0</v>
      </c>
      <c r="R22" s="16">
        <f>'Daily Energy'!R22/'Daily Energy'!$B22</f>
        <v>0</v>
      </c>
      <c r="S22" s="16">
        <f>'Daily Energy'!S22/'Daily Energy'!$B22</f>
        <v>0</v>
      </c>
      <c r="T22" s="16">
        <f>'Daily Energy'!T23/'Daily Energy'!$B22</f>
        <v>0</v>
      </c>
      <c r="U22" s="16">
        <f>'Daily Energy'!U22/'Daily Energy'!$B22</f>
        <v>0</v>
      </c>
      <c r="V22" s="16">
        <f>'Daily Energy'!W22/'Daily Energy'!$B22</f>
        <v>0</v>
      </c>
      <c r="W22" s="16">
        <f>'Daily Energy'!X22/'Daily Energy'!$B22</f>
        <v>0</v>
      </c>
      <c r="X22" s="16">
        <f>'Daily Energy'!Y22/'Daily Energy'!$B22</f>
        <v>0</v>
      </c>
      <c r="Y22" s="16" t="e">
        <f>'Daily Energy'!#REF!/'Daily Energy'!$B22</f>
        <v>#REF!</v>
      </c>
      <c r="Z22" s="16">
        <f>'Daily Energy'!Z22/'Daily Energy'!$B22</f>
        <v>0</v>
      </c>
      <c r="AA22" s="16">
        <f>'Daily Energy'!AA22/'Daily Energy'!$B22</f>
        <v>0</v>
      </c>
      <c r="AB22" s="16">
        <f>'Daily Energy'!AB22/'Daily Energy'!$B22</f>
        <v>0</v>
      </c>
      <c r="AC22" s="16">
        <f>'Daily Energy'!AC22/'Daily Energy'!$B22</f>
        <v>0</v>
      </c>
      <c r="AD22" s="16">
        <f>'Daily Energy'!AD22/'Daily Energy'!$B22</f>
        <v>0</v>
      </c>
      <c r="AE22" s="16">
        <f>'Daily Energy'!AE21/'Daily Energy'!$B22</f>
        <v>0</v>
      </c>
      <c r="AF22" s="16">
        <f>'Daily Energy'!AF22/'Daily Energy'!$B22</f>
        <v>0</v>
      </c>
      <c r="AG22" s="16">
        <f>'Daily Energy'!AG22/'Daily Energy'!$B22</f>
        <v>0</v>
      </c>
    </row>
    <row r="23" spans="1:33">
      <c r="A23" s="14" t="s">
        <v>57</v>
      </c>
      <c r="B23" s="20">
        <v>137.34</v>
      </c>
      <c r="C23" s="16">
        <v>495</v>
      </c>
      <c r="D23" s="16">
        <f>'Daily Energy'!D23/'Daily Energy'!$B23</f>
        <v>0</v>
      </c>
      <c r="E23" s="16">
        <f>'Daily Energy'!E23/'Daily Energy'!$B23</f>
        <v>0</v>
      </c>
      <c r="F23" s="16">
        <f>'Daily Energy'!F23/'Daily Energy'!$B23</f>
        <v>0</v>
      </c>
      <c r="G23" s="16">
        <f>'Daily Energy'!G23/'Daily Energy'!$B23</f>
        <v>0</v>
      </c>
      <c r="H23" s="16">
        <f>'Daily Energy'!H23/'Daily Energy'!$B23</f>
        <v>0</v>
      </c>
      <c r="I23" s="16">
        <f>'Daily Energy'!I23/'Daily Energy'!$B23</f>
        <v>0</v>
      </c>
      <c r="J23" s="16">
        <f>'Daily Energy'!J23/'Daily Energy'!$B23</f>
        <v>0</v>
      </c>
      <c r="K23" s="16">
        <f>'Daily Energy'!K23/'Daily Energy'!$B23</f>
        <v>0</v>
      </c>
      <c r="L23" s="16">
        <f>'Daily Energy'!L23/'Daily Energy'!$B23</f>
        <v>0</v>
      </c>
      <c r="M23" s="16">
        <f>'Daily Energy'!M23/'Daily Energy'!$B23</f>
        <v>0</v>
      </c>
      <c r="N23" s="16">
        <f>'Daily Energy'!N23/'Daily Energy'!$B23</f>
        <v>0</v>
      </c>
      <c r="O23" s="16">
        <f>'Daily Energy'!O23/'Daily Energy'!$B23</f>
        <v>0</v>
      </c>
      <c r="P23" s="16">
        <f>'Daily Energy'!P23/'Daily Energy'!$B23</f>
        <v>0</v>
      </c>
      <c r="Q23" s="16">
        <f>'Daily Energy'!Q23/'Daily Energy'!$B23</f>
        <v>0</v>
      </c>
      <c r="R23" s="16">
        <f>'Daily Energy'!R23/'Daily Energy'!$B23</f>
        <v>0</v>
      </c>
      <c r="S23" s="16">
        <f>'Daily Energy'!S23/'Daily Energy'!$B23</f>
        <v>0</v>
      </c>
      <c r="T23" s="16" t="e">
        <f>'Daily Energy'!#REF!/'Daily Energy'!$B23</f>
        <v>#REF!</v>
      </c>
      <c r="U23" s="16">
        <f>'Daily Energy'!U23/'Daily Energy'!$B23</f>
        <v>0</v>
      </c>
      <c r="V23" s="16">
        <f>'Daily Energy'!W23/'Daily Energy'!$B23</f>
        <v>0</v>
      </c>
      <c r="W23" s="16">
        <f>'Daily Energy'!X23/'Daily Energy'!$B23</f>
        <v>0</v>
      </c>
      <c r="X23" s="16">
        <f>'Daily Energy'!Y23/'Daily Energy'!$B23</f>
        <v>0</v>
      </c>
      <c r="Y23" s="16" t="e">
        <f>'Daily Energy'!#REF!/'Daily Energy'!$B23</f>
        <v>#REF!</v>
      </c>
      <c r="Z23" s="16">
        <f>'Daily Energy'!Z23/'Daily Energy'!$B23</f>
        <v>0</v>
      </c>
      <c r="AA23" s="16">
        <f>'Daily Energy'!AA23/'Daily Energy'!$B23</f>
        <v>0</v>
      </c>
      <c r="AB23" s="16">
        <f>'Daily Energy'!AB23/'Daily Energy'!$B23</f>
        <v>0</v>
      </c>
      <c r="AC23" s="16">
        <f>'Daily Energy'!AC23/'Daily Energy'!$B23</f>
        <v>0</v>
      </c>
      <c r="AD23" s="16">
        <f>'Daily Energy'!AD23/'Daily Energy'!$B23</f>
        <v>0</v>
      </c>
      <c r="AE23" s="16">
        <f>'Daily Energy'!AE22/'Daily Energy'!$B23</f>
        <v>0</v>
      </c>
      <c r="AF23" s="16">
        <f>'Daily Energy'!AF23/'Daily Energy'!$B23</f>
        <v>0</v>
      </c>
      <c r="AG23" s="16">
        <f>'Daily Energy'!AG23/'Daily Energy'!$B23</f>
        <v>0</v>
      </c>
    </row>
    <row r="24" spans="1:33">
      <c r="A24" s="14" t="s">
        <v>58</v>
      </c>
      <c r="B24" s="20">
        <v>137.34</v>
      </c>
      <c r="C24" s="16">
        <v>495</v>
      </c>
      <c r="D24" s="16">
        <f>'Daily Energy'!D24/'Daily Energy'!$B24</f>
        <v>0</v>
      </c>
      <c r="E24" s="16">
        <f>'Daily Energy'!E24/'Daily Energy'!$B24</f>
        <v>0</v>
      </c>
      <c r="F24" s="16">
        <f>'Daily Energy'!F24/'Daily Energy'!$B24</f>
        <v>0</v>
      </c>
      <c r="G24" s="16">
        <f>'Daily Energy'!G24/'Daily Energy'!$B24</f>
        <v>0</v>
      </c>
      <c r="H24" s="16">
        <f>'Daily Energy'!H24/'Daily Energy'!$B24</f>
        <v>0</v>
      </c>
      <c r="I24" s="16">
        <f>'Daily Energy'!I24/'Daily Energy'!$B24</f>
        <v>0</v>
      </c>
      <c r="J24" s="16">
        <f>'Daily Energy'!J24/'Daily Energy'!$B24</f>
        <v>0</v>
      </c>
      <c r="K24" s="16">
        <f>'Daily Energy'!K24/'Daily Energy'!$B24</f>
        <v>0</v>
      </c>
      <c r="L24" s="16">
        <f>'Daily Energy'!L24/'Daily Energy'!$B24</f>
        <v>0</v>
      </c>
      <c r="M24" s="16">
        <f>'Daily Energy'!M24/'Daily Energy'!$B24</f>
        <v>0</v>
      </c>
      <c r="N24" s="16">
        <f>'Daily Energy'!N24/'Daily Energy'!$B24</f>
        <v>0</v>
      </c>
      <c r="O24" s="16">
        <f>'Daily Energy'!O24/'Daily Energy'!$B24</f>
        <v>0</v>
      </c>
      <c r="P24" s="16">
        <f>'Daily Energy'!P24/'Daily Energy'!$B24</f>
        <v>0</v>
      </c>
      <c r="Q24" s="16">
        <f>'Daily Energy'!Q24/'Daily Energy'!$B24</f>
        <v>0</v>
      </c>
      <c r="R24" s="16">
        <f>'Daily Energy'!R24/'Daily Energy'!$B24</f>
        <v>0</v>
      </c>
      <c r="S24" s="16">
        <f>'Daily Energy'!S24/'Daily Energy'!$B24</f>
        <v>0</v>
      </c>
      <c r="T24" s="16">
        <f>'Daily Energy'!T24/'Daily Energy'!$B24</f>
        <v>0</v>
      </c>
      <c r="U24" s="16">
        <f>'Daily Energy'!U24/'Daily Energy'!$B24</f>
        <v>0</v>
      </c>
      <c r="V24" s="16">
        <f>'Daily Energy'!W24/'Daily Energy'!$B24</f>
        <v>0</v>
      </c>
      <c r="W24" s="16">
        <f>'Daily Energy'!X24/'Daily Energy'!$B24</f>
        <v>0</v>
      </c>
      <c r="X24" s="16">
        <f>'Daily Energy'!Y24/'Daily Energy'!$B24</f>
        <v>0</v>
      </c>
      <c r="Y24" s="16" t="e">
        <f>'Daily Energy'!#REF!/'Daily Energy'!$B24</f>
        <v>#REF!</v>
      </c>
      <c r="Z24" s="16">
        <f>'Daily Energy'!Z24/'Daily Energy'!$B24</f>
        <v>0</v>
      </c>
      <c r="AA24" s="16">
        <f>'Daily Energy'!AA24/'Daily Energy'!$B24</f>
        <v>0</v>
      </c>
      <c r="AB24" s="16">
        <f>'Daily Energy'!AB24/'Daily Energy'!$B24</f>
        <v>0</v>
      </c>
      <c r="AC24" s="16">
        <f>'Daily Energy'!AC24/'Daily Energy'!$B24</f>
        <v>0</v>
      </c>
      <c r="AD24" s="16">
        <f>'Daily Energy'!AD24/'Daily Energy'!$B24</f>
        <v>0</v>
      </c>
      <c r="AE24" s="16">
        <f>'Daily Energy'!AE23/'Daily Energy'!$B24</f>
        <v>0</v>
      </c>
      <c r="AF24" s="16">
        <f>'Daily Energy'!AF24/'Daily Energy'!$B24</f>
        <v>0</v>
      </c>
      <c r="AG24" s="16">
        <f>'Daily Energy'!AG24/'Daily Energy'!$B24</f>
        <v>0</v>
      </c>
    </row>
  </sheetData>
  <mergeCells count="1">
    <mergeCell ref="T1:AG1"/>
  </mergeCells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4"/>
  <sheetViews>
    <sheetView topLeftCell="A2" zoomScale="90" zoomScaleNormal="90" workbookViewId="0">
      <selection activeCell="A23" sqref="A23"/>
    </sheetView>
  </sheetViews>
  <sheetFormatPr defaultColWidth="8.7109375" defaultRowHeight="15"/>
  <cols>
    <col min="1" max="1" width="22.5703125" customWidth="1"/>
    <col min="32" max="32" width="9" customWidth="1"/>
  </cols>
  <sheetData>
    <row r="1" spans="1:32" ht="18.75">
      <c r="A1" s="1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8"/>
    </row>
    <row r="2" spans="1:32" ht="15.75">
      <c r="A2" s="3" t="s">
        <v>61</v>
      </c>
      <c r="B2" s="4">
        <f>'Daily Energy'!C2</f>
        <v>46235</v>
      </c>
      <c r="C2" s="4">
        <f>'Daily Energy'!D2</f>
        <v>46236</v>
      </c>
      <c r="D2" s="4">
        <f>'Daily Energy'!E2</f>
        <v>46237</v>
      </c>
      <c r="E2" s="4">
        <f>'Daily Energy'!F2</f>
        <v>46238</v>
      </c>
      <c r="F2" s="4">
        <f>'Daily Energy'!G2</f>
        <v>46239</v>
      </c>
      <c r="G2" s="4">
        <f>'Daily Energy'!H2</f>
        <v>46240</v>
      </c>
      <c r="H2" s="4">
        <f>'Daily Energy'!I2</f>
        <v>46241</v>
      </c>
      <c r="I2" s="4">
        <f>'Daily Energy'!J2</f>
        <v>46242</v>
      </c>
      <c r="J2" s="4">
        <f>'Daily Energy'!K2</f>
        <v>46243</v>
      </c>
      <c r="K2" s="4">
        <f>'Daily Energy'!L2</f>
        <v>46244</v>
      </c>
      <c r="L2" s="4">
        <f>'Daily Energy'!M2</f>
        <v>46245</v>
      </c>
      <c r="M2" s="4">
        <f>'Daily Energy'!N2</f>
        <v>46246</v>
      </c>
      <c r="N2" s="4">
        <f>'Daily Energy'!O2</f>
        <v>46247</v>
      </c>
      <c r="O2" s="4">
        <f>'Daily Energy'!P2</f>
        <v>46248</v>
      </c>
      <c r="P2" s="4">
        <f>'Daily Energy'!Q2</f>
        <v>46249</v>
      </c>
      <c r="Q2" s="4">
        <f>'Daily Energy'!R2</f>
        <v>46250</v>
      </c>
      <c r="R2" s="4">
        <f>'Daily Energy'!S2</f>
        <v>46251</v>
      </c>
      <c r="S2" s="4">
        <f>'Daily Energy'!T2</f>
        <v>46252</v>
      </c>
      <c r="T2" s="4">
        <f>'Daily Energy'!U2</f>
        <v>46253</v>
      </c>
      <c r="U2" s="4">
        <f>'Daily Energy'!V2</f>
        <v>46254</v>
      </c>
      <c r="V2" s="4">
        <f>'Daily Energy'!W2</f>
        <v>46255</v>
      </c>
      <c r="W2" s="4">
        <f>'Daily Energy'!X2</f>
        <v>46256</v>
      </c>
      <c r="X2" s="4">
        <f>'Daily Energy'!Y2</f>
        <v>46257</v>
      </c>
      <c r="Y2" s="4">
        <f>'Daily Energy'!Z2</f>
        <v>46258</v>
      </c>
      <c r="Z2" s="4">
        <f>'Daily Energy'!AA2</f>
        <v>46259</v>
      </c>
      <c r="AA2" s="4">
        <f>'Daily Energy'!AB2</f>
        <v>46260</v>
      </c>
      <c r="AB2" s="4">
        <f>'Daily Energy'!AC2</f>
        <v>46261</v>
      </c>
      <c r="AC2" s="4">
        <f>'Daily Energy'!AD2</f>
        <v>46262</v>
      </c>
      <c r="AD2" s="4">
        <f>'Daily Energy'!AE2</f>
        <v>46263</v>
      </c>
      <c r="AE2" s="4">
        <f>'Daily Energy'!AF2</f>
        <v>46264</v>
      </c>
      <c r="AF2" s="4">
        <f>'Daily Energy'!AG2</f>
        <v>46265</v>
      </c>
    </row>
    <row r="3" spans="1:32" ht="15.75">
      <c r="A3" s="5" t="s">
        <v>37</v>
      </c>
      <c r="B3" s="6">
        <f>IF(IFERROR('Daily SY'!C3/MAX('Daily SY'!C$3:C$15)-1,"")=-100%,"",IFERROR('Daily SY'!C3/MAX('Daily SY'!C$3:C$15)-1,""))</f>
        <v>-8.4269662921348298E-2</v>
      </c>
      <c r="C3" s="6" t="str">
        <f>IF(IFERROR('Daily SY'!D3/MAX('Daily SY'!D$3:D$14)-1,"")=-100%,"",IFERROR('Daily SY'!D3/MAX('Daily SY'!D$3:D$14)-1,""))</f>
        <v/>
      </c>
      <c r="D3" s="6" t="str">
        <f>IF(IFERROR('Daily SY'!E3/MAX('Daily SY'!E$3:E$14)-1,"")=-100%,"",IFERROR('Daily SY'!E3/MAX('Daily SY'!E$3:E$14)-1,""))</f>
        <v/>
      </c>
      <c r="E3" s="6" t="str">
        <f>IF(IFERROR('Daily SY'!F3/MAX('Daily SY'!F$3:F$14)-1,"")=-100%,"",IFERROR('Daily SY'!F3/MAX('Daily SY'!F$3:F$14)-1,""))</f>
        <v/>
      </c>
      <c r="F3" s="6" t="str">
        <f>IF(IFERROR('Daily SY'!G3/MAX('Daily SY'!G$3:G$14)-1,"")=-100%,"",IFERROR('Daily SY'!G3/MAX('Daily SY'!G$3:G$14)-1,""))</f>
        <v/>
      </c>
      <c r="G3" s="6" t="str">
        <f>IF(IFERROR('Daily SY'!H3/MAX('Daily SY'!H$3:H$14)-1,"")=-100%,"",IFERROR('Daily SY'!H3/MAX('Daily SY'!H$3:H$14)-1,""))</f>
        <v/>
      </c>
      <c r="H3" s="6" t="str">
        <f>IF(IFERROR('Daily SY'!I3/MAX('Daily SY'!I$3:I$18)-1,"")=-100%,"",IFERROR('Daily SY'!I3/MAX('Daily SY'!I$3:I$18)-1,""))</f>
        <v/>
      </c>
      <c r="I3" s="6" t="str">
        <f>IF(IFERROR('Daily SY'!J3/MAX('Daily SY'!J$3:J$14)-1,"")=-100%,"",IFERROR('Daily SY'!J3/MAX('Daily SY'!J$3:J$14)-1,""))</f>
        <v/>
      </c>
      <c r="J3" s="6" t="str">
        <f>IF(IFERROR('Daily SY'!K3/MAX('Daily SY'!K$3:K$14)-1,"")=-100%,"",IFERROR('Daily SY'!K3/MAX('Daily SY'!K$3:K$14)-1,""))</f>
        <v/>
      </c>
      <c r="K3" s="6" t="str">
        <f>IF(IFERROR('Daily SY'!L3/MAX('Daily SY'!L$3:L$14)-1,"")=-100%,"",IFERROR('Daily SY'!L3/MAX('Daily SY'!L$3:L$14)-1,""))</f>
        <v/>
      </c>
      <c r="L3" s="6" t="str">
        <f>IF(IFERROR('Daily SY'!M3/MAX('Daily SY'!M$3:M$14)-1,"")=-100%,"",IFERROR('Daily SY'!M3/MAX('Daily SY'!M$3:M$14)-1,""))</f>
        <v/>
      </c>
      <c r="M3" s="6" t="str">
        <f>IF(IFERROR('Daily SY'!N3/MAX('Daily SY'!N$3:N$14)-1,"")=-100%,"",IFERROR('Daily SY'!N3/MAX('Daily SY'!N$3:N$14)-1,""))</f>
        <v/>
      </c>
      <c r="N3" s="6" t="str">
        <f>IF(IFERROR('Daily SY'!O3/MAX('Daily SY'!O$3:O$14)-1,"")=-100%,"",IFERROR('Daily SY'!O3/MAX('Daily SY'!O$3:O$14)-1,""))</f>
        <v/>
      </c>
      <c r="O3" s="6" t="str">
        <f>IF(IFERROR('Daily SY'!P3/MAX('Daily SY'!P$3:P$14)-1,"")=-100%,"",IFERROR('Daily SY'!P3/MAX('Daily SY'!P$3:P$14)-1,""))</f>
        <v/>
      </c>
      <c r="P3" s="6">
        <f>IF(IFERROR('Daily SY'!Q3/MAX('Daily SY'!Q$3:Q$14)-1,"")=-100%,"",IFERROR('Daily SY'!Q3/MAX('Daily SY'!Q$3:Q$14)-1,""))</f>
        <v>-0.16153846153846152</v>
      </c>
      <c r="Q3" s="6" t="str">
        <f>IF(IFERROR('Daily SY'!R3/MAX('Daily SY'!R$3:R$14)-1,"")=-100%,"",IFERROR('Daily SY'!R3/MAX('Daily SY'!R$3:R$14)-1,""))</f>
        <v/>
      </c>
      <c r="R3" s="6" t="str">
        <f>IF(IFERROR('Daily SY'!S3/MAX('Daily SY'!S$3:S$14)-1,"")=-100%,"",IFERROR('Daily SY'!S3/MAX('Daily SY'!S$3:S$14)-1,""))</f>
        <v/>
      </c>
      <c r="S3" s="6">
        <f>IF(IFERROR('Daily SY'!T3/MAX('Daily SY'!T$3:T$14)-1,"")=-100%,"",IFERROR('Daily SY'!T3/MAX('Daily SY'!T$3:T$14)-1,""))</f>
        <v>-0.42765273311897101</v>
      </c>
      <c r="T3" s="6" t="str">
        <f>IF(IFERROR('Daily SY'!U3/MAX('Daily SY'!U$3:U$14)-1,"")=-100%,"",IFERROR('Daily SY'!U3/MAX('Daily SY'!U$3:U$14)-1,""))</f>
        <v/>
      </c>
      <c r="U3" s="6" t="str">
        <f>IF(IFERROR('Daily SY'!V3/MAX('Daily SY'!V$3:V$14)-1,"")=-100%,"",IFERROR('Daily SY'!V3/MAX('Daily SY'!V$3:V$14)-1,""))</f>
        <v/>
      </c>
      <c r="V3" s="6" t="str">
        <f>IF(IFERROR('Daily SY'!W3/MAX('Daily SY'!W$3:W$14)-1,"")=-100%,"",IFERROR('Daily SY'!W3/MAX('Daily SY'!W$3:W$14)-1,""))</f>
        <v/>
      </c>
      <c r="W3" s="6" t="str">
        <f>IF(IFERROR('Daily SY'!X3/MAX('Daily SY'!X$3:X$14)-1,"")=-100%,"",IFERROR('Daily SY'!X3/MAX('Daily SY'!X$3:X$14)-1,""))</f>
        <v/>
      </c>
      <c r="X3" s="6" t="str">
        <f>IF(IFERROR('Daily SY'!Y3/MAX('Daily SY'!Y$3:Y$14)-1,"")=-100%,"",IFERROR('Daily SY'!Y3/MAX('Daily SY'!Y$3:Y$14)-1,""))</f>
        <v/>
      </c>
      <c r="Y3" s="6" t="str">
        <f>IF(IFERROR('Daily SY'!Z3/MAX('Daily SY'!Z$3:Z$14)-1,"")=-100%,"",IFERROR('Daily SY'!Z3/MAX('Daily SY'!Z$3:Z$14)-1,""))</f>
        <v/>
      </c>
      <c r="Z3" s="6" t="str">
        <f>IF(IFERROR('Daily SY'!AA3/MAX('Daily SY'!AA$3:AA$14)-1,"")=-100%,"",IFERROR('Daily SY'!AA3/MAX('Daily SY'!AA$3:AA$14)-1,""))</f>
        <v/>
      </c>
      <c r="AA3" s="6" t="str">
        <f>IF(IFERROR('Daily SY'!AB3/MAX('Daily SY'!AB$3:AB$14)-1,"")=-100%,"",IFERROR('Daily SY'!AB3/MAX('Daily SY'!AB$3:AB$14)-1,""))</f>
        <v/>
      </c>
      <c r="AB3" s="6" t="str">
        <f>IF(IFERROR('Daily SY'!AC3/MAX('Daily SY'!AC$3:AC$14)-1,"")=-100%,"",IFERROR('Daily SY'!AC3/MAX('Daily SY'!AC$3:AC$14)-1,""))</f>
        <v/>
      </c>
      <c r="AC3" s="6" t="str">
        <f>IF(IFERROR('Daily SY'!AD3/MAX('Daily SY'!AD$3:AD$14)-1,"")=-100%,"",IFERROR('Daily SY'!AD3/MAX('Daily SY'!AD$3:AD$14)-1,""))</f>
        <v/>
      </c>
      <c r="AD3" s="6" t="str">
        <f>IF(IFERROR('Daily SY'!AE3/MAX('Daily SY'!AE$3:AE$14)-1,"")=-100%,"",IFERROR('Daily SY'!AE3/MAX('Daily SY'!AE$3:AE$14)-1,""))</f>
        <v/>
      </c>
      <c r="AE3" s="10" t="str">
        <f>IF(IFERROR('Daily SY'!AF3/MAX('Daily SY'!AF$3:AF$14)-1,"")=-100%,"",IFERROR('Daily SY'!AF3/MAX('Daily SY'!AF$3:AF$14)-1,""))</f>
        <v/>
      </c>
      <c r="AF3" s="10" t="str">
        <f>IF(IFERROR('Daily SY'!AG3/MAX('Daily SY'!AG$3:AG$14)-1,"")=-100%,"",IFERROR('Daily SY'!AG3/MAX('Daily SY'!AG$3:AG$14)-1,""))</f>
        <v/>
      </c>
    </row>
    <row r="4" spans="1:32" ht="15.75">
      <c r="A4" s="5" t="s">
        <v>38</v>
      </c>
      <c r="B4" s="6">
        <f>IF(IFERROR('Daily SY'!C4/MAX('Daily SY'!C$3:C$14)-1,"")=-100%,"",IFERROR('Daily SY'!C4/MAX('Daily SY'!C$3:C$14)-1,""))</f>
        <v>-7.3033707865168496E-2</v>
      </c>
      <c r="C4" s="6" t="str">
        <f>IF(IFERROR('Daily SY'!D4/MAX('Daily SY'!D$3:D$14)-1,"")=-100%,"",IFERROR('Daily SY'!D4/MAX('Daily SY'!D$3:D$14)-1,""))</f>
        <v/>
      </c>
      <c r="D4" s="6" t="str">
        <f>IF(IFERROR('Daily SY'!E4/MAX('Daily SY'!E$3:E$14)-1,"")=-100%,"",IFERROR('Daily SY'!E4/MAX('Daily SY'!E$3:E$14)-1,""))</f>
        <v/>
      </c>
      <c r="E4" s="6" t="str">
        <f>IF(IFERROR('Daily SY'!F4/MAX('Daily SY'!F$3:F$14)-1,"")=-100%,"",IFERROR('Daily SY'!F4/MAX('Daily SY'!F$3:F$14)-1,""))</f>
        <v/>
      </c>
      <c r="F4" s="6" t="str">
        <f>IF(IFERROR('Daily SY'!G4/MAX('Daily SY'!G$3:G$14)-1,"")=-100%,"",IFERROR('Daily SY'!G4/MAX('Daily SY'!G$3:G$14)-1,""))</f>
        <v/>
      </c>
      <c r="G4" s="6" t="str">
        <f>IF(IFERROR('Daily SY'!H4/MAX('Daily SY'!H$3:H$14)-1,"")=-100%,"",IFERROR('Daily SY'!H4/MAX('Daily SY'!H$3:H$14)-1,""))</f>
        <v/>
      </c>
      <c r="H4" s="6" t="str">
        <f>IF(IFERROR('Daily SY'!I4/MAX('Daily SY'!I$3:I$18)-1,"")=-100%,"",IFERROR('Daily SY'!I4/MAX('Daily SY'!I$3:I$18)-1,""))</f>
        <v/>
      </c>
      <c r="I4" s="6" t="str">
        <f>IF(IFERROR('Daily SY'!J4/MAX('Daily SY'!J$3:J$14)-1,"")=-100%,"",IFERROR('Daily SY'!J4/MAX('Daily SY'!J$3:J$14)-1,""))</f>
        <v/>
      </c>
      <c r="J4" s="6" t="str">
        <f>IF(IFERROR('Daily SY'!K4/MAX('Daily SY'!K$3:K$14)-1,"")=-100%,"",IFERROR('Daily SY'!K4/MAX('Daily SY'!K$3:K$14)-1,""))</f>
        <v/>
      </c>
      <c r="K4" s="6" t="str">
        <f>IF(IFERROR('Daily SY'!L4/MAX('Daily SY'!L$3:L$14)-1,"")=-100%,"",IFERROR('Daily SY'!L4/MAX('Daily SY'!L$3:L$14)-1,""))</f>
        <v/>
      </c>
      <c r="L4" s="6" t="str">
        <f>IF(IFERROR('Daily SY'!M4/MAX('Daily SY'!M$3:M$14)-1,"")=-100%,"",IFERROR('Daily SY'!M4/MAX('Daily SY'!M$3:M$14)-1,""))</f>
        <v/>
      </c>
      <c r="M4" s="6" t="str">
        <f>IF(IFERROR('Daily SY'!N4/MAX('Daily SY'!N$3:N$14)-1,"")=-100%,"",IFERROR('Daily SY'!N4/MAX('Daily SY'!N$3:N$14)-1,""))</f>
        <v/>
      </c>
      <c r="N4" s="6" t="str">
        <f>IF(IFERROR('Daily SY'!O4/MAX('Daily SY'!O$3:O$14)-1,"")=-100%,"",IFERROR('Daily SY'!O4/MAX('Daily SY'!O$3:O$14)-1,""))</f>
        <v/>
      </c>
      <c r="O4" s="6" t="str">
        <f>IF(IFERROR('Daily SY'!P4/MAX('Daily SY'!P$3:P$14)-1,"")=-100%,"",IFERROR('Daily SY'!P4/MAX('Daily SY'!P$3:P$14)-1,""))</f>
        <v/>
      </c>
      <c r="P4" s="6">
        <f>IF(IFERROR('Daily SY'!Q4/MAX('Daily SY'!Q$3:Q$14)-1,"")=-100%,"",IFERROR('Daily SY'!Q4/MAX('Daily SY'!Q$3:Q$14)-1,""))</f>
        <v>-4.6153846153846101E-2</v>
      </c>
      <c r="Q4" s="6" t="str">
        <f>IF(IFERROR('Daily SY'!R4/MAX('Daily SY'!R$3:R$14)-1,"")=-100%,"",IFERROR('Daily SY'!R4/MAX('Daily SY'!R$3:R$14)-1,""))</f>
        <v/>
      </c>
      <c r="R4" s="6" t="str">
        <f>IF(IFERROR('Daily SY'!S4/MAX('Daily SY'!S$3:S$14)-1,"")=-100%,"",IFERROR('Daily SY'!S4/MAX('Daily SY'!S$3:S$14)-1,""))</f>
        <v/>
      </c>
      <c r="S4" s="6">
        <f>IF(IFERROR('Daily SY'!T4/MAX('Daily SY'!T$3:T$14)-1,"")=-100%,"",IFERROR('Daily SY'!T4/MAX('Daily SY'!T$3:T$14)-1,""))</f>
        <v>-3.215434083601254E-3</v>
      </c>
      <c r="T4" s="6" t="str">
        <f>IF(IFERROR('Daily SY'!U4/MAX('Daily SY'!U$3:U$14)-1,"")=-100%,"",IFERROR('Daily SY'!U4/MAX('Daily SY'!U$3:U$14)-1,""))</f>
        <v/>
      </c>
      <c r="U4" s="6" t="str">
        <f>IF(IFERROR('Daily SY'!V4/MAX('Daily SY'!V$3:V$14)-1,"")=-100%,"",IFERROR('Daily SY'!V4/MAX('Daily SY'!V$3:V$14)-1,""))</f>
        <v/>
      </c>
      <c r="V4" s="6" t="str">
        <f>IF(IFERROR('Daily SY'!W4/MAX('Daily SY'!W$3:W$14)-1,"")=-100%,"",IFERROR('Daily SY'!W4/MAX('Daily SY'!W$3:W$14)-1,""))</f>
        <v/>
      </c>
      <c r="W4" s="6" t="str">
        <f>IF(IFERROR('Daily SY'!X4/MAX('Daily SY'!X$3:X$14)-1,"")=-100%,"",IFERROR('Daily SY'!X4/MAX('Daily SY'!X$3:X$14)-1,""))</f>
        <v/>
      </c>
      <c r="X4" s="6" t="str">
        <f>IF(IFERROR('Daily SY'!Y4/MAX('Daily SY'!Y$3:Y$14)-1,"")=-100%,"",IFERROR('Daily SY'!Y4/MAX('Daily SY'!Y$3:Y$14)-1,""))</f>
        <v/>
      </c>
      <c r="Y4" s="6" t="str">
        <f>IF(IFERROR('Daily SY'!Z4/MAX('Daily SY'!Z$3:Z$14)-1,"")=-100%,"",IFERROR('Daily SY'!Z4/MAX('Daily SY'!Z$3:Z$14)-1,""))</f>
        <v/>
      </c>
      <c r="Z4" s="6" t="str">
        <f>IF(IFERROR('Daily SY'!AA4/MAX('Daily SY'!AA$3:AA$14)-1,"")=-100%,"",IFERROR('Daily SY'!AA4/MAX('Daily SY'!AA$3:AA$14)-1,""))</f>
        <v/>
      </c>
      <c r="AA4" s="6" t="str">
        <f>IF(IFERROR('Daily SY'!AB4/MAX('Daily SY'!AB$3:AB$14)-1,"")=-100%,"",IFERROR('Daily SY'!AB4/MAX('Daily SY'!AB$3:AB$14)-1,""))</f>
        <v/>
      </c>
      <c r="AB4" s="6" t="str">
        <f>IF(IFERROR('Daily SY'!AC4/MAX('Daily SY'!AC$3:AC$14)-1,"")=-100%,"",IFERROR('Daily SY'!AC4/MAX('Daily SY'!AC$3:AC$14)-1,""))</f>
        <v/>
      </c>
      <c r="AC4" s="6" t="str">
        <f>IF(IFERROR('Daily SY'!AD4/MAX('Daily SY'!AD$3:AD$14)-1,"")=-100%,"",IFERROR('Daily SY'!AD4/MAX('Daily SY'!AD$3:AD$14)-1,""))</f>
        <v/>
      </c>
      <c r="AD4" s="6" t="str">
        <f>IF(IFERROR('Daily SY'!AE4/MAX('Daily SY'!AE$3:AE$14)-1,"")=-100%,"",IFERROR('Daily SY'!AE4/MAX('Daily SY'!AE$3:AE$14)-1,""))</f>
        <v/>
      </c>
      <c r="AE4" s="10" t="str">
        <f>IF(IFERROR('Daily SY'!AF4/MAX('Daily SY'!AF$3:AF$14)-1,"")=-100%,"",IFERROR('Daily SY'!AF4/MAX('Daily SY'!AF$3:AF$14)-1,""))</f>
        <v/>
      </c>
      <c r="AF4" s="10" t="str">
        <f>IF(IFERROR('Daily SY'!AG4/MAX('Daily SY'!AG$3:AG$14)-1,"")=-100%,"",IFERROR('Daily SY'!AG4/MAX('Daily SY'!AG$3:AG$14)-1,""))</f>
        <v/>
      </c>
    </row>
    <row r="5" spans="1:32" ht="15.75">
      <c r="A5" s="5" t="s">
        <v>39</v>
      </c>
      <c r="B5" s="6">
        <f>IF(IFERROR('Daily SY'!C5/MAX('Daily SY'!C$3:C$14)-1,"")=-100%,"",IFERROR('Daily SY'!C5/MAX('Daily SY'!C$3:C$14)-1,""))</f>
        <v>-6.1797752808988804E-2</v>
      </c>
      <c r="C5" s="6" t="str">
        <f>IF(IFERROR('Daily SY'!D5/MAX('Daily SY'!D$3:D$14)-1,"")=-100%,"",IFERROR('Daily SY'!D5/MAX('Daily SY'!D$3:D$14)-1,""))</f>
        <v/>
      </c>
      <c r="D5" s="6" t="str">
        <f>IF(IFERROR('Daily SY'!E5/MAX('Daily SY'!E$3:E$14)-1,"")=-100%,"",IFERROR('Daily SY'!E5/MAX('Daily SY'!E$3:E$14)-1,""))</f>
        <v/>
      </c>
      <c r="E5" s="6" t="str">
        <f>IF(IFERROR('Daily SY'!F5/MAX('Daily SY'!F$3:F$14)-1,"")=-100%,"",IFERROR('Daily SY'!F5/MAX('Daily SY'!F$3:F$14)-1,""))</f>
        <v/>
      </c>
      <c r="F5" s="6" t="str">
        <f>IF(IFERROR('Daily SY'!G5/MAX('Daily SY'!G$3:G$14)-1,"")=-100%,"",IFERROR('Daily SY'!G5/MAX('Daily SY'!G$3:G$14)-1,""))</f>
        <v/>
      </c>
      <c r="G5" s="6" t="str">
        <f>IF(IFERROR('Daily SY'!H5/MAX('Daily SY'!H$3:H$14)-1,"")=-100%,"",IFERROR('Daily SY'!H5/MAX('Daily SY'!H$3:H$14)-1,""))</f>
        <v/>
      </c>
      <c r="H5" s="6" t="str">
        <f>IF(IFERROR('Daily SY'!I5/MAX('Daily SY'!I$3:I$18)-1,"")=-100%,"",IFERROR('Daily SY'!I5/MAX('Daily SY'!I$3:I$18)-1,""))</f>
        <v/>
      </c>
      <c r="I5" s="6" t="str">
        <f>IF(IFERROR('Daily SY'!J5/MAX('Daily SY'!J$3:J$14)-1,"")=-100%,"",IFERROR('Daily SY'!J5/MAX('Daily SY'!J$3:J$14)-1,""))</f>
        <v/>
      </c>
      <c r="J5" s="6" t="str">
        <f>IF(IFERROR('Daily SY'!K5/MAX('Daily SY'!K$3:K$14)-1,"")=-100%,"",IFERROR('Daily SY'!K5/MAX('Daily SY'!K$3:K$14)-1,""))</f>
        <v/>
      </c>
      <c r="K5" s="6" t="str">
        <f>IF(IFERROR('Daily SY'!L5/MAX('Daily SY'!L$3:L$14)-1,"")=-100%,"",IFERROR('Daily SY'!L5/MAX('Daily SY'!L$3:L$14)-1,""))</f>
        <v/>
      </c>
      <c r="L5" s="6" t="str">
        <f>IF(IFERROR('Daily SY'!M5/MAX('Daily SY'!M$3:M$14)-1,"")=-100%,"",IFERROR('Daily SY'!M5/MAX('Daily SY'!M$3:M$14)-1,""))</f>
        <v/>
      </c>
      <c r="M5" s="6" t="str">
        <f>IF(IFERROR('Daily SY'!N5/MAX('Daily SY'!N$3:N$14)-1,"")=-100%,"",IFERROR('Daily SY'!N5/MAX('Daily SY'!N$3:N$14)-1,""))</f>
        <v/>
      </c>
      <c r="N5" s="6" t="str">
        <f>IF(IFERROR('Daily SY'!O5/MAX('Daily SY'!O$3:O$14)-1,"")=-100%,"",IFERROR('Daily SY'!O5/MAX('Daily SY'!O$3:O$14)-1,""))</f>
        <v/>
      </c>
      <c r="O5" s="6" t="str">
        <f>IF(IFERROR('Daily SY'!P5/MAX('Daily SY'!P$3:P$14)-1,"")=-100%,"",IFERROR('Daily SY'!P5/MAX('Daily SY'!P$3:P$14)-1,""))</f>
        <v/>
      </c>
      <c r="P5" s="6">
        <f>IF(IFERROR('Daily SY'!Q5/MAX('Daily SY'!Q$3:Q$14)-1,"")=-100%,"",IFERROR('Daily SY'!Q5/MAX('Daily SY'!Q$3:Q$14)-1,""))</f>
        <v>-1.5384615384615441E-2</v>
      </c>
      <c r="Q5" s="6" t="str">
        <f>IF(IFERROR('Daily SY'!R5/MAX('Daily SY'!R$3:R$14)-1,"")=-100%,"",IFERROR('Daily SY'!R5/MAX('Daily SY'!R$3:R$14)-1,""))</f>
        <v/>
      </c>
      <c r="R5" s="6" t="str">
        <f>IF(IFERROR('Daily SY'!S5/MAX('Daily SY'!S$3:S$14)-1,"")=-100%,"",IFERROR('Daily SY'!S5/MAX('Daily SY'!S$3:S$14)-1,""))</f>
        <v/>
      </c>
      <c r="S5" s="6">
        <f>IF(IFERROR('Daily SY'!T5/MAX('Daily SY'!T$3:T$14)-1,"")=-100%,"",IFERROR('Daily SY'!T5/MAX('Daily SY'!T$3:T$14)-1,""))</f>
        <v>-3.5369774919614128E-2</v>
      </c>
      <c r="T5" s="6" t="str">
        <f>IF(IFERROR('Daily SY'!U5/MAX('Daily SY'!U$3:U$14)-1,"")=-100%,"",IFERROR('Daily SY'!U5/MAX('Daily SY'!U$3:U$14)-1,""))</f>
        <v/>
      </c>
      <c r="U5" s="6" t="str">
        <f>IF(IFERROR('Daily SY'!V5/MAX('Daily SY'!V$3:V$14)-1,"")=-100%,"",IFERROR('Daily SY'!V5/MAX('Daily SY'!V$3:V$14)-1,""))</f>
        <v/>
      </c>
      <c r="V5" s="6" t="str">
        <f>IF(IFERROR('Daily SY'!W5/MAX('Daily SY'!W$3:W$14)-1,"")=-100%,"",IFERROR('Daily SY'!W5/MAX('Daily SY'!W$3:W$14)-1,""))</f>
        <v/>
      </c>
      <c r="W5" s="6" t="str">
        <f>IF(IFERROR('Daily SY'!X5/MAX('Daily SY'!X$3:X$14)-1,"")=-100%,"",IFERROR('Daily SY'!X5/MAX('Daily SY'!X$3:X$14)-1,""))</f>
        <v/>
      </c>
      <c r="X5" s="6" t="str">
        <f>IF(IFERROR('Daily SY'!Y5/MAX('Daily SY'!Y$3:Y$14)-1,"")=-100%,"",IFERROR('Daily SY'!Y5/MAX('Daily SY'!Y$3:Y$14)-1,""))</f>
        <v/>
      </c>
      <c r="Y5" s="6" t="str">
        <f>IF(IFERROR('Daily SY'!Z5/MAX('Daily SY'!Z$3:Z$14)-1,"")=-100%,"",IFERROR('Daily SY'!Z5/MAX('Daily SY'!Z$3:Z$14)-1,""))</f>
        <v/>
      </c>
      <c r="Z5" s="6" t="str">
        <f>IF(IFERROR('Daily SY'!AA5/MAX('Daily SY'!AA$3:AA$14)-1,"")=-100%,"",IFERROR('Daily SY'!AA5/MAX('Daily SY'!AA$3:AA$14)-1,""))</f>
        <v/>
      </c>
      <c r="AA5" s="6" t="str">
        <f>IF(IFERROR('Daily SY'!AB5/MAX('Daily SY'!AB$3:AB$14)-1,"")=-100%,"",IFERROR('Daily SY'!AB5/MAX('Daily SY'!AB$3:AB$14)-1,""))</f>
        <v/>
      </c>
      <c r="AB5" s="6" t="str">
        <f>IF(IFERROR('Daily SY'!AC5/MAX('Daily SY'!AC$3:AC$14)-1,"")=-100%,"",IFERROR('Daily SY'!AC5/MAX('Daily SY'!AC$3:AC$14)-1,""))</f>
        <v/>
      </c>
      <c r="AC5" s="6" t="str">
        <f>IF(IFERROR('Daily SY'!AD5/MAX('Daily SY'!AD$3:AD$14)-1,"")=-100%,"",IFERROR('Daily SY'!AD5/MAX('Daily SY'!AD$3:AD$14)-1,""))</f>
        <v/>
      </c>
      <c r="AD5" s="6" t="str">
        <f>IF(IFERROR('Daily SY'!AE5/MAX('Daily SY'!AE$3:AE$14)-1,"")=-100%,"",IFERROR('Daily SY'!AE5/MAX('Daily SY'!AE$3:AE$14)-1,""))</f>
        <v/>
      </c>
      <c r="AE5" s="10" t="str">
        <f>IF(IFERROR('Daily SY'!AF5/MAX('Daily SY'!AF$3:AF$14)-1,"")=-100%,"",IFERROR('Daily SY'!AF5/MAX('Daily SY'!AF$3:AF$14)-1,""))</f>
        <v/>
      </c>
      <c r="AF5" s="10" t="str">
        <f>IF(IFERROR('Daily SY'!AG5/MAX('Daily SY'!AG$3:AG$14)-1,"")=-100%,"",IFERROR('Daily SY'!AG5/MAX('Daily SY'!AG$3:AG$14)-1,""))</f>
        <v/>
      </c>
    </row>
    <row r="6" spans="1:32" ht="15.75">
      <c r="A6" s="5" t="s">
        <v>40</v>
      </c>
      <c r="B6" s="6">
        <f>IF(IFERROR('Daily SY'!C6/MAX('Daily SY'!C$3:C$14)-1,"")=-100%,"",IFERROR('Daily SY'!C6/MAX('Daily SY'!C$3:C$14)-1,""))</f>
        <v>-0.1067415730337079</v>
      </c>
      <c r="C6" s="6" t="str">
        <f>IF(IFERROR('Daily SY'!D6/MAX('Daily SY'!D$3:D$14)-1,"")=-100%,"",IFERROR('Daily SY'!D6/MAX('Daily SY'!D$3:D$14)-1,""))</f>
        <v/>
      </c>
      <c r="D6" s="6" t="str">
        <f>IF(IFERROR('Daily SY'!E6/MAX('Daily SY'!E$3:E$14)-1,"")=-100%,"",IFERROR('Daily SY'!E6/MAX('Daily SY'!E$3:E$14)-1,""))</f>
        <v/>
      </c>
      <c r="E6" s="6" t="str">
        <f>IF(IFERROR('Daily SY'!F6/MAX('Daily SY'!F$3:F$14)-1,"")=-100%,"",IFERROR('Daily SY'!F6/MAX('Daily SY'!F$3:F$14)-1,""))</f>
        <v/>
      </c>
      <c r="F6" s="6" t="str">
        <f>IF(IFERROR('Daily SY'!G6/MAX('Daily SY'!G$3:G$14)-1,"")=-100%,"",IFERROR('Daily SY'!G6/MAX('Daily SY'!G$3:G$14)-1,""))</f>
        <v/>
      </c>
      <c r="G6" s="6" t="str">
        <f>IF(IFERROR('Daily SY'!H6/MAX('Daily SY'!H$3:H$14)-1,"")=-100%,"",IFERROR('Daily SY'!H6/MAX('Daily SY'!H$3:H$14)-1,""))</f>
        <v/>
      </c>
      <c r="H6" s="6" t="str">
        <f>IF(IFERROR('Daily SY'!I6/MAX('Daily SY'!I$3:I$18)-1,"")=-100%,"",IFERROR('Daily SY'!I6/MAX('Daily SY'!I$3:I$18)-1,""))</f>
        <v/>
      </c>
      <c r="I6" s="6" t="str">
        <f>IF(IFERROR('Daily SY'!J6/MAX('Daily SY'!J$3:J$14)-1,"")=-100%,"",IFERROR('Daily SY'!J6/MAX('Daily SY'!J$3:J$14)-1,""))</f>
        <v/>
      </c>
      <c r="J6" s="6" t="str">
        <f>IF(IFERROR('Daily SY'!K6/MAX('Daily SY'!K$3:K$14)-1,"")=-100%,"",IFERROR('Daily SY'!K6/MAX('Daily SY'!K$3:K$14)-1,""))</f>
        <v/>
      </c>
      <c r="K6" s="6" t="str">
        <f>IF(IFERROR('Daily SY'!L6/MAX('Daily SY'!L$3:L$14)-1,"")=-100%,"",IFERROR('Daily SY'!L6/MAX('Daily SY'!L$3:L$14)-1,""))</f>
        <v/>
      </c>
      <c r="L6" s="6" t="str">
        <f>IF(IFERROR('Daily SY'!M6/MAX('Daily SY'!M$3:M$14)-1,"")=-100%,"",IFERROR('Daily SY'!M6/MAX('Daily SY'!M$3:M$14)-1,""))</f>
        <v/>
      </c>
      <c r="M6" s="6" t="str">
        <f>IF(IFERROR('Daily SY'!N6/MAX('Daily SY'!N$3:N$14)-1,"")=-100%,"",IFERROR('Daily SY'!N6/MAX('Daily SY'!N$3:N$14)-1,""))</f>
        <v/>
      </c>
      <c r="N6" s="6" t="str">
        <f>IF(IFERROR('Daily SY'!O6/MAX('Daily SY'!O$3:O$14)-1,"")=-100%,"",IFERROR('Daily SY'!O6/MAX('Daily SY'!O$3:O$14)-1,""))</f>
        <v/>
      </c>
      <c r="O6" s="6" t="str">
        <f>IF(IFERROR('Daily SY'!P6/MAX('Daily SY'!P$3:P$14)-1,"")=-100%,"",IFERROR('Daily SY'!P6/MAX('Daily SY'!P$3:P$14)-1,""))</f>
        <v/>
      </c>
      <c r="P6" s="6">
        <f>IF(IFERROR('Daily SY'!Q6/MAX('Daily SY'!Q$3:Q$14)-1,"")=-100%,"",IFERROR('Daily SY'!Q6/MAX('Daily SY'!Q$3:Q$14)-1,""))</f>
        <v>-9.6153846153846145E-2</v>
      </c>
      <c r="Q6" s="6" t="str">
        <f>IF(IFERROR('Daily SY'!R6/MAX('Daily SY'!R$3:R$14)-1,"")=-100%,"",IFERROR('Daily SY'!R6/MAX('Daily SY'!R$3:R$14)-1,""))</f>
        <v/>
      </c>
      <c r="R6" s="6" t="str">
        <f>IF(IFERROR('Daily SY'!S6/MAX('Daily SY'!S$3:S$14)-1,"")=-100%,"",IFERROR('Daily SY'!S6/MAX('Daily SY'!S$3:S$14)-1,""))</f>
        <v/>
      </c>
      <c r="S6" s="6">
        <f>IF(IFERROR('Daily SY'!T6/MAX('Daily SY'!T$3:T$14)-1,"")=-100%,"",IFERROR('Daily SY'!T6/MAX('Daily SY'!T$3:T$14)-1,""))</f>
        <v>-0.11575562700964637</v>
      </c>
      <c r="T6" s="6" t="str">
        <f>IF(IFERROR('Daily SY'!U6/MAX('Daily SY'!U$3:U$14)-1,"")=-100%,"",IFERROR('Daily SY'!U6/MAX('Daily SY'!U$3:U$14)-1,""))</f>
        <v/>
      </c>
      <c r="U6" s="6" t="str">
        <f>IF(IFERROR('Daily SY'!V6/MAX('Daily SY'!V$3:V$14)-1,"")=-100%,"",IFERROR('Daily SY'!V6/MAX('Daily SY'!V$3:V$14)-1,""))</f>
        <v/>
      </c>
      <c r="V6" s="6" t="str">
        <f>IF(IFERROR('Daily SY'!W6/MAX('Daily SY'!W$3:W$14)-1,"")=-100%,"",IFERROR('Daily SY'!W6/MAX('Daily SY'!W$3:W$14)-1,""))</f>
        <v/>
      </c>
      <c r="W6" s="6" t="str">
        <f>IF(IFERROR('Daily SY'!X6/MAX('Daily SY'!X$3:X$14)-1,"")=-100%,"",IFERROR('Daily SY'!X6/MAX('Daily SY'!X$3:X$14)-1,""))</f>
        <v/>
      </c>
      <c r="X6" s="6" t="str">
        <f>IF(IFERROR('Daily SY'!Y6/MAX('Daily SY'!Y$3:Y$14)-1,"")=-100%,"",IFERROR('Daily SY'!Y6/MAX('Daily SY'!Y$3:Y$14)-1,""))</f>
        <v/>
      </c>
      <c r="Y6" s="6" t="str">
        <f>IF(IFERROR('Daily SY'!Z6/MAX('Daily SY'!Z$3:Z$14)-1,"")=-100%,"",IFERROR('Daily SY'!Z6/MAX('Daily SY'!Z$3:Z$14)-1,""))</f>
        <v/>
      </c>
      <c r="Z6" s="6" t="str">
        <f>IF(IFERROR('Daily SY'!AA6/MAX('Daily SY'!AA$3:AA$14)-1,"")=-100%,"",IFERROR('Daily SY'!AA6/MAX('Daily SY'!AA$3:AA$14)-1,""))</f>
        <v/>
      </c>
      <c r="AA6" s="6" t="str">
        <f>IF(IFERROR('Daily SY'!AB6/MAX('Daily SY'!AB$3:AB$14)-1,"")=-100%,"",IFERROR('Daily SY'!AB6/MAX('Daily SY'!AB$3:AB$14)-1,""))</f>
        <v/>
      </c>
      <c r="AB6" s="6" t="str">
        <f>IF(IFERROR('Daily SY'!AC6/MAX('Daily SY'!AC$3:AC$14)-1,"")=-100%,"",IFERROR('Daily SY'!AC6/MAX('Daily SY'!AC$3:AC$14)-1,""))</f>
        <v/>
      </c>
      <c r="AC6" s="6" t="str">
        <f>IF(IFERROR('Daily SY'!AD6/MAX('Daily SY'!AD$3:AD$14)-1,"")=-100%,"",IFERROR('Daily SY'!AD6/MAX('Daily SY'!AD$3:AD$14)-1,""))</f>
        <v/>
      </c>
      <c r="AD6" s="6" t="str">
        <f>IF(IFERROR('Daily SY'!AE6/MAX('Daily SY'!AE$3:AE$14)-1,"")=-100%,"",IFERROR('Daily SY'!AE6/MAX('Daily SY'!AE$3:AE$14)-1,""))</f>
        <v/>
      </c>
      <c r="AE6" s="10" t="str">
        <f>IF(IFERROR('Daily SY'!AF6/MAX('Daily SY'!AF$3:AF$14)-1,"")=-100%,"",IFERROR('Daily SY'!AF6/MAX('Daily SY'!AF$3:AF$14)-1,""))</f>
        <v/>
      </c>
      <c r="AF6" s="10" t="str">
        <f>IF(IFERROR('Daily SY'!AG6/MAX('Daily SY'!AG$3:AG$14)-1,"")=-100%,"",IFERROR('Daily SY'!AG6/MAX('Daily SY'!AG$3:AG$14)-1,""))</f>
        <v/>
      </c>
    </row>
    <row r="7" spans="1:32" ht="15.75">
      <c r="A7" s="5" t="s">
        <v>41</v>
      </c>
      <c r="B7" s="6">
        <f>IF(IFERROR('Daily SY'!C7/MAX('Daily SY'!C$3:C$14)-1,"")=-100%,"",IFERROR('Daily SY'!C7/MAX('Daily SY'!C$3:C$14)-1,""))</f>
        <v>-0.16479400749063666</v>
      </c>
      <c r="C7" s="6" t="str">
        <f>IF(IFERROR('Daily SY'!D7/MAX('Daily SY'!D$3:D$14)-1,"")=-100%,"",IFERROR('Daily SY'!D7/MAX('Daily SY'!D$3:D$14)-1,""))</f>
        <v/>
      </c>
      <c r="D7" s="6" t="str">
        <f>IF(IFERROR('Daily SY'!E7/MAX('Daily SY'!E$3:E$14)-1,"")=-100%,"",IFERROR('Daily SY'!E7/MAX('Daily SY'!E$3:E$14)-1,""))</f>
        <v/>
      </c>
      <c r="E7" s="6" t="str">
        <f>IF(IFERROR('Daily SY'!F7/MAX('Daily SY'!F$3:F$14)-1,"")=-100%,"",IFERROR('Daily SY'!F7/MAX('Daily SY'!F$3:F$14)-1,""))</f>
        <v/>
      </c>
      <c r="F7" s="6" t="str">
        <f>IF(IFERROR('Daily SY'!G7/MAX('Daily SY'!G$3:G$14)-1,"")=-100%,"",IFERROR('Daily SY'!G7/MAX('Daily SY'!G$3:G$14)-1,""))</f>
        <v/>
      </c>
      <c r="G7" s="6" t="str">
        <f>IF(IFERROR('Daily SY'!H7/MAX('Daily SY'!H$3:H$14)-1,"")=-100%,"",IFERROR('Daily SY'!H7/MAX('Daily SY'!H$3:H$14)-1,""))</f>
        <v/>
      </c>
      <c r="H7" s="6" t="str">
        <f>IF(IFERROR('Daily SY'!I7/MAX('Daily SY'!I$3:I$18)-1,"")=-100%,"",IFERROR('Daily SY'!I7/MAX('Daily SY'!I$3:I$18)-1,""))</f>
        <v/>
      </c>
      <c r="I7" s="6" t="str">
        <f>IF(IFERROR('Daily SY'!J7/MAX('Daily SY'!J$3:J$14)-1,"")=-100%,"",IFERROR('Daily SY'!J7/MAX('Daily SY'!J$3:J$14)-1,""))</f>
        <v/>
      </c>
      <c r="J7" s="6" t="str">
        <f>IF(IFERROR('Daily SY'!K7/MAX('Daily SY'!K$3:K$14)-1,"")=-100%,"",IFERROR('Daily SY'!K7/MAX('Daily SY'!K$3:K$14)-1,""))</f>
        <v/>
      </c>
      <c r="K7" s="6" t="str">
        <f>IF(IFERROR('Daily SY'!L7/MAX('Daily SY'!L$3:L$14)-1,"")=-100%,"",IFERROR('Daily SY'!L7/MAX('Daily SY'!L$3:L$14)-1,""))</f>
        <v/>
      </c>
      <c r="L7" s="6" t="str">
        <f>IF(IFERROR('Daily SY'!M7/MAX('Daily SY'!M$3:M$14)-1,"")=-100%,"",IFERROR('Daily SY'!M7/MAX('Daily SY'!M$3:M$14)-1,""))</f>
        <v/>
      </c>
      <c r="M7" s="6" t="str">
        <f>IF(IFERROR('Daily SY'!N7/MAX('Daily SY'!N$3:N$14)-1,"")=-100%,"",IFERROR('Daily SY'!N7/MAX('Daily SY'!N$3:N$14)-1,""))</f>
        <v/>
      </c>
      <c r="N7" s="6" t="str">
        <f>IF(IFERROR('Daily SY'!O7/MAX('Daily SY'!O$3:O$14)-1,"")=-100%,"",IFERROR('Daily SY'!O7/MAX('Daily SY'!O$3:O$14)-1,""))</f>
        <v/>
      </c>
      <c r="O7" s="6" t="str">
        <f>IF(IFERROR('Daily SY'!P7/MAX('Daily SY'!P$3:P$14)-1,"")=-100%,"",IFERROR('Daily SY'!P7/MAX('Daily SY'!P$3:P$14)-1,""))</f>
        <v/>
      </c>
      <c r="P7" s="6">
        <f>IF(IFERROR('Daily SY'!Q7/MAX('Daily SY'!Q$3:Q$14)-1,"")=-100%,"",IFERROR('Daily SY'!Q7/MAX('Daily SY'!Q$3:Q$14)-1,""))</f>
        <v>-1.1538461538461608E-2</v>
      </c>
      <c r="Q7" s="6" t="str">
        <f>IF(IFERROR('Daily SY'!R7/MAX('Daily SY'!R$3:R$14)-1,"")=-100%,"",IFERROR('Daily SY'!R7/MAX('Daily SY'!R$3:R$14)-1,""))</f>
        <v/>
      </c>
      <c r="R7" s="6" t="str">
        <f>IF(IFERROR('Daily SY'!S7/MAX('Daily SY'!S$3:S$14)-1,"")=-100%,"",IFERROR('Daily SY'!S7/MAX('Daily SY'!S$3:S$14)-1,""))</f>
        <v/>
      </c>
      <c r="S7" s="6">
        <f>IF(IFERROR('Daily SY'!T7/MAX('Daily SY'!T$3:T$14)-1,"")=-100%,"",IFERROR('Daily SY'!T7/MAX('Daily SY'!T$3:T$14)-1,""))</f>
        <v>0</v>
      </c>
      <c r="T7" s="6" t="str">
        <f>IF(IFERROR('Daily SY'!U7/MAX('Daily SY'!U$3:U$14)-1,"")=-100%,"",IFERROR('Daily SY'!U7/MAX('Daily SY'!U$3:U$14)-1,""))</f>
        <v/>
      </c>
      <c r="U7" s="6" t="str">
        <f>IF(IFERROR('Daily SY'!V7/MAX('Daily SY'!V$3:V$14)-1,"")=-100%,"",IFERROR('Daily SY'!V7/MAX('Daily SY'!V$3:V$14)-1,""))</f>
        <v/>
      </c>
      <c r="V7" s="6" t="str">
        <f>IF(IFERROR('Daily SY'!W7/MAX('Daily SY'!W$3:W$14)-1,"")=-100%,"",IFERROR('Daily SY'!W7/MAX('Daily SY'!W$3:W$14)-1,""))</f>
        <v/>
      </c>
      <c r="W7" s="6" t="str">
        <f>IF(IFERROR('Daily SY'!X7/MAX('Daily SY'!X$3:X$14)-1,"")=-100%,"",IFERROR('Daily SY'!X7/MAX('Daily SY'!X$3:X$14)-1,""))</f>
        <v/>
      </c>
      <c r="X7" s="6" t="str">
        <f>IF(IFERROR('Daily SY'!Y7/MAX('Daily SY'!Y$3:Y$14)-1,"")=-100%,"",IFERROR('Daily SY'!Y7/MAX('Daily SY'!Y$3:Y$14)-1,""))</f>
        <v/>
      </c>
      <c r="Y7" s="6" t="str">
        <f>IF(IFERROR('Daily SY'!Z7/MAX('Daily SY'!Z$3:Z$14)-1,"")=-100%,"",IFERROR('Daily SY'!Z7/MAX('Daily SY'!Z$3:Z$14)-1,""))</f>
        <v/>
      </c>
      <c r="Z7" s="6" t="str">
        <f>IF(IFERROR('Daily SY'!AA7/MAX('Daily SY'!AA$3:AA$14)-1,"")=-100%,"",IFERROR('Daily SY'!AA7/MAX('Daily SY'!AA$3:AA$14)-1,""))</f>
        <v/>
      </c>
      <c r="AA7" s="6" t="str">
        <f>IF(IFERROR('Daily SY'!AB7/MAX('Daily SY'!AB$3:AB$14)-1,"")=-100%,"",IFERROR('Daily SY'!AB7/MAX('Daily SY'!AB$3:AB$14)-1,""))</f>
        <v/>
      </c>
      <c r="AB7" s="6" t="str">
        <f>IF(IFERROR('Daily SY'!AC7/MAX('Daily SY'!AC$3:AC$14)-1,"")=-100%,"",IFERROR('Daily SY'!AC7/MAX('Daily SY'!AC$3:AC$14)-1,""))</f>
        <v/>
      </c>
      <c r="AC7" s="6" t="str">
        <f>IF(IFERROR('Daily SY'!AD7/MAX('Daily SY'!AD$3:AD$14)-1,"")=-100%,"",IFERROR('Daily SY'!AD7/MAX('Daily SY'!AD$3:AD$14)-1,""))</f>
        <v/>
      </c>
      <c r="AD7" s="6" t="str">
        <f>IF(IFERROR('Daily SY'!AE7/MAX('Daily SY'!AE$3:AE$14)-1,"")=-100%,"",IFERROR('Daily SY'!AE7/MAX('Daily SY'!AE$3:AE$14)-1,""))</f>
        <v/>
      </c>
      <c r="AE7" s="10" t="str">
        <f>IF(IFERROR('Daily SY'!AF7/MAX('Daily SY'!AF$3:AF$14)-1,"")=-100%,"",IFERROR('Daily SY'!AF7/MAX('Daily SY'!AF$3:AF$14)-1,""))</f>
        <v/>
      </c>
      <c r="AF7" s="10" t="str">
        <f>IF(IFERROR('Daily SY'!AG7/MAX('Daily SY'!AG$3:AG$14)-1,"")=-100%,"",IFERROR('Daily SY'!AG7/MAX('Daily SY'!AG$3:AG$14)-1,""))</f>
        <v/>
      </c>
    </row>
    <row r="8" spans="1:32" ht="15.75">
      <c r="A8" s="5" t="s">
        <v>42</v>
      </c>
      <c r="B8" s="6">
        <f>IF(IFERROR('Daily SY'!C8/MAX('Daily SY'!C$3:C$14)-1,"")=-100%,"",IFERROR('Daily SY'!C8/MAX('Daily SY'!C$3:C$14)-1,""))</f>
        <v>-8.98876404494382E-2</v>
      </c>
      <c r="C8" s="6" t="str">
        <f>IF(IFERROR('Daily SY'!D8/MAX('Daily SY'!D$3:D$14)-1,"")=-100%,"",IFERROR('Daily SY'!D8/MAX('Daily SY'!D$3:D$14)-1,""))</f>
        <v/>
      </c>
      <c r="D8" s="6" t="str">
        <f>IF(IFERROR('Daily SY'!E8/MAX('Daily SY'!E$3:E$14)-1,"")=-100%,"",IFERROR('Daily SY'!E8/MAX('Daily SY'!E$3:E$14)-1,""))</f>
        <v/>
      </c>
      <c r="E8" s="6" t="str">
        <f>IF(IFERROR('Daily SY'!F8/MAX('Daily SY'!F$3:F$14)-1,"")=-100%,"",IFERROR('Daily SY'!F8/MAX('Daily SY'!F$3:F$14)-1,""))</f>
        <v/>
      </c>
      <c r="F8" s="6" t="str">
        <f>IF(IFERROR('Daily SY'!G8/MAX('Daily SY'!G$3:G$14)-1,"")=-100%,"",IFERROR('Daily SY'!G8/MAX('Daily SY'!G$3:G$14)-1,""))</f>
        <v/>
      </c>
      <c r="G8" s="6" t="str">
        <f>IF(IFERROR('Daily SY'!H8/MAX('Daily SY'!H$3:H$14)-1,"")=-100%,"",IFERROR('Daily SY'!H8/MAX('Daily SY'!H$3:H$14)-1,""))</f>
        <v/>
      </c>
      <c r="H8" s="6" t="str">
        <f>IF(IFERROR('Daily SY'!I8/MAX('Daily SY'!I$3:I$18)-1,"")=-100%,"",IFERROR('Daily SY'!I8/MAX('Daily SY'!I$3:I$18)-1,""))</f>
        <v/>
      </c>
      <c r="I8" s="6" t="str">
        <f>IF(IFERROR('Daily SY'!J8/MAX('Daily SY'!J$3:J$14)-1,"")=-100%,"",IFERROR('Daily SY'!J8/MAX('Daily SY'!J$3:J$14)-1,""))</f>
        <v/>
      </c>
      <c r="J8" s="6" t="str">
        <f>IF(IFERROR('Daily SY'!K8/MAX('Daily SY'!K$3:K$14)-1,"")=-100%,"",IFERROR('Daily SY'!K8/MAX('Daily SY'!K$3:K$14)-1,""))</f>
        <v/>
      </c>
      <c r="K8" s="6" t="str">
        <f>IF(IFERROR('Daily SY'!L8/MAX('Daily SY'!L$3:L$14)-1,"")=-100%,"",IFERROR('Daily SY'!L8/MAX('Daily SY'!L$3:L$14)-1,""))</f>
        <v/>
      </c>
      <c r="L8" s="6" t="str">
        <f>IF(IFERROR('Daily SY'!M8/MAX('Daily SY'!M$3:M$14)-1,"")=-100%,"",IFERROR('Daily SY'!M8/MAX('Daily SY'!M$3:M$14)-1,""))</f>
        <v/>
      </c>
      <c r="M8" s="6" t="str">
        <f>IF(IFERROR('Daily SY'!N8/MAX('Daily SY'!N$3:N$14)-1,"")=-100%,"",IFERROR('Daily SY'!N8/MAX('Daily SY'!N$3:N$14)-1,""))</f>
        <v/>
      </c>
      <c r="N8" s="6" t="str">
        <f>IF(IFERROR('Daily SY'!O8/MAX('Daily SY'!O$3:O$14)-1,"")=-100%,"",IFERROR('Daily SY'!O8/MAX('Daily SY'!O$3:O$14)-1,""))</f>
        <v/>
      </c>
      <c r="O8" s="6" t="str">
        <f>IF(IFERROR('Daily SY'!P8/MAX('Daily SY'!P$3:P$14)-1,"")=-100%,"",IFERROR('Daily SY'!P8/MAX('Daily SY'!P$3:P$14)-1,""))</f>
        <v/>
      </c>
      <c r="P8" s="6">
        <f>IF(IFERROR('Daily SY'!Q8/MAX('Daily SY'!Q$3:Q$14)-1,"")=-100%,"",IFERROR('Daily SY'!Q8/MAX('Daily SY'!Q$3:Q$14)-1,""))</f>
        <v>-6.1538461538461542E-2</v>
      </c>
      <c r="Q8" s="6" t="str">
        <f>IF(IFERROR('Daily SY'!R8/MAX('Daily SY'!R$3:R$14)-1,"")=-100%,"",IFERROR('Daily SY'!R8/MAX('Daily SY'!R$3:R$14)-1,""))</f>
        <v/>
      </c>
      <c r="R8" s="6" t="str">
        <f>IF(IFERROR('Daily SY'!S8/MAX('Daily SY'!S$3:S$14)-1,"")=-100%,"",IFERROR('Daily SY'!S8/MAX('Daily SY'!S$3:S$14)-1,""))</f>
        <v/>
      </c>
      <c r="S8" s="6">
        <f>IF(IFERROR('Daily SY'!T8/MAX('Daily SY'!T$3:T$14)-1,"")=-100%,"",IFERROR('Daily SY'!T8/MAX('Daily SY'!T$3:T$14)-1,""))</f>
        <v>-7.0739549839228144E-2</v>
      </c>
      <c r="T8" s="6" t="str">
        <f>IF(IFERROR('Daily SY'!U8/MAX('Daily SY'!U$3:U$14)-1,"")=-100%,"",IFERROR('Daily SY'!U8/MAX('Daily SY'!U$3:U$14)-1,""))</f>
        <v/>
      </c>
      <c r="U8" s="6" t="str">
        <f>IF(IFERROR('Daily SY'!V8/MAX('Daily SY'!V$3:V$14)-1,"")=-100%,"",IFERROR('Daily SY'!V8/MAX('Daily SY'!V$3:V$14)-1,""))</f>
        <v/>
      </c>
      <c r="V8" s="6" t="str">
        <f>IF(IFERROR('Daily SY'!W8/MAX('Daily SY'!W$3:W$14)-1,"")=-100%,"",IFERROR('Daily SY'!W8/MAX('Daily SY'!W$3:W$14)-1,""))</f>
        <v/>
      </c>
      <c r="W8" s="6" t="str">
        <f>IF(IFERROR('Daily SY'!X8/MAX('Daily SY'!X$3:X$14)-1,"")=-100%,"",IFERROR('Daily SY'!X8/MAX('Daily SY'!X$3:X$14)-1,""))</f>
        <v/>
      </c>
      <c r="X8" s="6" t="str">
        <f>IF(IFERROR('Daily SY'!Y8/MAX('Daily SY'!Y$3:Y$14)-1,"")=-100%,"",IFERROR('Daily SY'!Y8/MAX('Daily SY'!Y$3:Y$14)-1,""))</f>
        <v/>
      </c>
      <c r="Y8" s="6" t="str">
        <f>IF(IFERROR('Daily SY'!Z8/MAX('Daily SY'!Z$3:Z$14)-1,"")=-100%,"",IFERROR('Daily SY'!Z8/MAX('Daily SY'!Z$3:Z$14)-1,""))</f>
        <v/>
      </c>
      <c r="Z8" s="6" t="str">
        <f>IF(IFERROR('Daily SY'!AA8/MAX('Daily SY'!AA$3:AA$14)-1,"")=-100%,"",IFERROR('Daily SY'!AA8/MAX('Daily SY'!AA$3:AA$14)-1,""))</f>
        <v/>
      </c>
      <c r="AA8" s="6" t="str">
        <f>IF(IFERROR('Daily SY'!AB8/MAX('Daily SY'!AB$3:AB$14)-1,"")=-100%,"",IFERROR('Daily SY'!AB8/MAX('Daily SY'!AB$3:AB$14)-1,""))</f>
        <v/>
      </c>
      <c r="AB8" s="6" t="str">
        <f>IF(IFERROR('Daily SY'!AC8/MAX('Daily SY'!AC$3:AC$14)-1,"")=-100%,"",IFERROR('Daily SY'!AC8/MAX('Daily SY'!AC$3:AC$14)-1,""))</f>
        <v/>
      </c>
      <c r="AC8" s="6" t="str">
        <f>IF(IFERROR('Daily SY'!AD8/MAX('Daily SY'!AD$3:AD$14)-1,"")=-100%,"",IFERROR('Daily SY'!AD8/MAX('Daily SY'!AD$3:AD$14)-1,""))</f>
        <v/>
      </c>
      <c r="AD8" s="6" t="str">
        <f>IF(IFERROR('Daily SY'!AE8/MAX('Daily SY'!AE$3:AE$14)-1,"")=-100%,"",IFERROR('Daily SY'!AE8/MAX('Daily SY'!AE$3:AE$14)-1,""))</f>
        <v/>
      </c>
      <c r="AE8" s="10" t="str">
        <f>IF(IFERROR('Daily SY'!AF8/MAX('Daily SY'!AF$3:AF$14)-1,"")=-100%,"",IFERROR('Daily SY'!AF8/MAX('Daily SY'!AF$3:AF$14)-1,""))</f>
        <v/>
      </c>
      <c r="AF8" s="10" t="str">
        <f>IF(IFERROR('Daily SY'!AG8/MAX('Daily SY'!AG$3:AG$14)-1,"")=-100%,"",IFERROR('Daily SY'!AG8/MAX('Daily SY'!AG$3:AG$14)-1,""))</f>
        <v/>
      </c>
    </row>
    <row r="9" spans="1:32" ht="15.75">
      <c r="A9" s="5" t="s">
        <v>43</v>
      </c>
      <c r="B9" s="6">
        <f>IF(IFERROR('Daily SY'!C9/MAX('Daily SY'!C$3:C$14)-1,"")=-100%,"",IFERROR('Daily SY'!C9/MAX('Daily SY'!C$3:C$14)-1,""))</f>
        <v>-3.3707865168539297E-2</v>
      </c>
      <c r="C9" s="6" t="str">
        <f>IF(IFERROR('Daily SY'!D9/MAX('Daily SY'!D$3:D$14)-1,"")=-100%,"",IFERROR('Daily SY'!D9/MAX('Daily SY'!D$3:D$14)-1,""))</f>
        <v/>
      </c>
      <c r="D9" s="6" t="str">
        <f>IF(IFERROR('Daily SY'!E9/MAX('Daily SY'!E$3:E$14)-1,"")=-100%,"",IFERROR('Daily SY'!E9/MAX('Daily SY'!E$3:E$14)-1,""))</f>
        <v/>
      </c>
      <c r="E9" s="6" t="str">
        <f>IF(IFERROR('Daily SY'!F9/MAX('Daily SY'!F$3:F$14)-1,"")=-100%,"",IFERROR('Daily SY'!F9/MAX('Daily SY'!F$3:F$14)-1,""))</f>
        <v/>
      </c>
      <c r="F9" s="6" t="str">
        <f>IF(IFERROR('Daily SY'!G9/MAX('Daily SY'!G$3:G$14)-1,"")=-100%,"",IFERROR('Daily SY'!G9/MAX('Daily SY'!G$3:G$14)-1,""))</f>
        <v/>
      </c>
      <c r="G9" s="6" t="str">
        <f>IF(IFERROR('Daily SY'!H9/MAX('Daily SY'!H$3:H$14)-1,"")=-100%,"",IFERROR('Daily SY'!H9/MAX('Daily SY'!H$3:H$14)-1,""))</f>
        <v/>
      </c>
      <c r="H9" s="6" t="str">
        <f>IF(IFERROR('Daily SY'!I9/MAX('Daily SY'!I$3:I$18)-1,"")=-100%,"",IFERROR('Daily SY'!I9/MAX('Daily SY'!I$3:I$18)-1,""))</f>
        <v/>
      </c>
      <c r="I9" s="6" t="str">
        <f>IF(IFERROR('Daily SY'!J9/MAX('Daily SY'!J$3:J$14)-1,"")=-100%,"",IFERROR('Daily SY'!J9/MAX('Daily SY'!J$3:J$14)-1,""))</f>
        <v/>
      </c>
      <c r="J9" s="6" t="str">
        <f>IF(IFERROR('Daily SY'!K9/MAX('Daily SY'!K$3:K$14)-1,"")=-100%,"",IFERROR('Daily SY'!K9/MAX('Daily SY'!K$3:K$14)-1,""))</f>
        <v/>
      </c>
      <c r="K9" s="6" t="str">
        <f>IF(IFERROR('Daily SY'!L9/MAX('Daily SY'!L$3:L$14)-1,"")=-100%,"",IFERROR('Daily SY'!L9/MAX('Daily SY'!L$3:L$14)-1,""))</f>
        <v/>
      </c>
      <c r="L9" s="6" t="str">
        <f>IF(IFERROR('Daily SY'!M9/MAX('Daily SY'!M$3:M$14)-1,"")=-100%,"",IFERROR('Daily SY'!M9/MAX('Daily SY'!M$3:M$14)-1,""))</f>
        <v/>
      </c>
      <c r="M9" s="6" t="str">
        <f>IF(IFERROR('Daily SY'!N9/MAX('Daily SY'!N$3:N$14)-1,"")=-100%,"",IFERROR('Daily SY'!N9/MAX('Daily SY'!N$3:N$14)-1,""))</f>
        <v/>
      </c>
      <c r="N9" s="6" t="str">
        <f>IF(IFERROR('Daily SY'!O9/MAX('Daily SY'!O$3:O$14)-1,"")=-100%,"",IFERROR('Daily SY'!O9/MAX('Daily SY'!O$3:O$14)-1,""))</f>
        <v/>
      </c>
      <c r="O9" s="6" t="str">
        <f>IF(IFERROR('Daily SY'!P9/MAX('Daily SY'!P$3:P$14)-1,"")=-100%,"",IFERROR('Daily SY'!P9/MAX('Daily SY'!P$3:P$14)-1,""))</f>
        <v/>
      </c>
      <c r="P9" s="6">
        <f>IF(IFERROR('Daily SY'!Q9/MAX('Daily SY'!Q$3:Q$14)-1,"")=-100%,"",IFERROR('Daily SY'!Q9/MAX('Daily SY'!Q$3:Q$14)-1,""))</f>
        <v>-7.1428571428571397E-2</v>
      </c>
      <c r="Q9" s="6" t="str">
        <f>IF(IFERROR('Daily SY'!R9/MAX('Daily SY'!R$3:R$14)-1,"")=-100%,"",IFERROR('Daily SY'!R9/MAX('Daily SY'!R$3:R$14)-1,""))</f>
        <v/>
      </c>
      <c r="R9" s="6" t="str">
        <f>IF(IFERROR('Daily SY'!S9/MAX('Daily SY'!S$3:S$14)-1,"")=-100%,"",IFERROR('Daily SY'!S9/MAX('Daily SY'!S$3:S$14)-1,""))</f>
        <v/>
      </c>
      <c r="S9" s="6">
        <f>IF(IFERROR('Daily SY'!T9/MAX('Daily SY'!T$3:T$14)-1,"")=-100%,"",IFERROR('Daily SY'!T9/MAX('Daily SY'!T$3:T$14)-1,""))</f>
        <v>-5.9485530546623755E-2</v>
      </c>
      <c r="T9" s="6" t="str">
        <f>IF(IFERROR('Daily SY'!U9/MAX('Daily SY'!U$3:U$14)-1,"")=-100%,"",IFERROR('Daily SY'!U9/MAX('Daily SY'!U$3:U$14)-1,""))</f>
        <v/>
      </c>
      <c r="U9" s="6" t="str">
        <f>IF(IFERROR('Daily SY'!V9/MAX('Daily SY'!V$3:V$14)-1,"")=-100%,"",IFERROR('Daily SY'!V9/MAX('Daily SY'!V$3:V$14)-1,""))</f>
        <v/>
      </c>
      <c r="V9" s="6" t="str">
        <f>IF(IFERROR('Daily SY'!W9/MAX('Daily SY'!W$3:W$14)-1,"")=-100%,"",IFERROR('Daily SY'!W9/MAX('Daily SY'!W$3:W$14)-1,""))</f>
        <v/>
      </c>
      <c r="W9" s="6" t="str">
        <f>IF(IFERROR('Daily SY'!X9/MAX('Daily SY'!X$3:X$14)-1,"")=-100%,"",IFERROR('Daily SY'!X9/MAX('Daily SY'!X$3:X$14)-1,""))</f>
        <v/>
      </c>
      <c r="X9" s="6" t="str">
        <f>IF(IFERROR('Daily SY'!Y9/MAX('Daily SY'!Y$3:Y$14)-1,"")=-100%,"",IFERROR('Daily SY'!Y9/MAX('Daily SY'!Y$3:Y$14)-1,""))</f>
        <v/>
      </c>
      <c r="Y9" s="6" t="str">
        <f>IF(IFERROR('Daily SY'!Z9/MAX('Daily SY'!Z$3:Z$14)-1,"")=-100%,"",IFERROR('Daily SY'!Z9/MAX('Daily SY'!Z$3:Z$14)-1,""))</f>
        <v/>
      </c>
      <c r="Z9" s="6" t="str">
        <f>IF(IFERROR('Daily SY'!AA9/MAX('Daily SY'!AA$3:AA$14)-1,"")=-100%,"",IFERROR('Daily SY'!AA9/MAX('Daily SY'!AA$3:AA$14)-1,""))</f>
        <v/>
      </c>
      <c r="AA9" s="6" t="str">
        <f>IF(IFERROR('Daily SY'!AB9/MAX('Daily SY'!AB$3:AB$14)-1,"")=-100%,"",IFERROR('Daily SY'!AB9/MAX('Daily SY'!AB$3:AB$14)-1,""))</f>
        <v/>
      </c>
      <c r="AB9" s="6" t="str">
        <f>IF(IFERROR('Daily SY'!AC9/MAX('Daily SY'!AC$3:AC$14)-1,"")=-100%,"",IFERROR('Daily SY'!AC9/MAX('Daily SY'!AC$3:AC$14)-1,""))</f>
        <v/>
      </c>
      <c r="AC9" s="6" t="str">
        <f>IF(IFERROR('Daily SY'!AD9/MAX('Daily SY'!AD$3:AD$14)-1,"")=-100%,"",IFERROR('Daily SY'!AD9/MAX('Daily SY'!AD$3:AD$14)-1,""))</f>
        <v/>
      </c>
      <c r="AD9" s="6" t="str">
        <f>IF(IFERROR('Daily SY'!AE9/MAX('Daily SY'!AE$3:AE$14)-1,"")=-100%,"",IFERROR('Daily SY'!AE9/MAX('Daily SY'!AE$3:AE$14)-1,""))</f>
        <v/>
      </c>
      <c r="AE9" s="10" t="str">
        <f>IF(IFERROR('Daily SY'!AF9/MAX('Daily SY'!AF$3:AF$14)-1,"")=-100%,"",IFERROR('Daily SY'!AF9/MAX('Daily SY'!AF$3:AF$14)-1,""))</f>
        <v/>
      </c>
      <c r="AF9" s="10" t="str">
        <f>IF(IFERROR('Daily SY'!AG9/MAX('Daily SY'!AG$3:AG$14)-1,"")=-100%,"",IFERROR('Daily SY'!AG9/MAX('Daily SY'!AG$3:AG$14)-1,""))</f>
        <v/>
      </c>
    </row>
    <row r="10" spans="1:32" ht="15.75">
      <c r="A10" s="5" t="s">
        <v>44</v>
      </c>
      <c r="B10" s="6">
        <f>IF(IFERROR('Daily SY'!C10/MAX('Daily SY'!C$3:C$14)-1,"")=-100%,"",IFERROR('Daily SY'!C10/MAX('Daily SY'!C$3:C$14)-1,""))</f>
        <v>0</v>
      </c>
      <c r="C10" s="6" t="str">
        <f>IF(IFERROR('Daily SY'!D10/MAX('Daily SY'!D$3:D$14)-1,"")=-100%,"",IFERROR('Daily SY'!D10/MAX('Daily SY'!D$3:D$14)-1,""))</f>
        <v/>
      </c>
      <c r="D10" s="6" t="str">
        <f>IF(IFERROR('Daily SY'!E10/MAX('Daily SY'!E$3:E$14)-1,"")=-100%,"",IFERROR('Daily SY'!E10/MAX('Daily SY'!E$3:E$14)-1,""))</f>
        <v/>
      </c>
      <c r="E10" s="6" t="str">
        <f>IF(IFERROR('Daily SY'!F10/MAX('Daily SY'!F$3:F$14)-1,"")=-100%,"",IFERROR('Daily SY'!F10/MAX('Daily SY'!F$3:F$14)-1,""))</f>
        <v/>
      </c>
      <c r="F10" s="6" t="str">
        <f>IF(IFERROR('Daily SY'!G10/MAX('Daily SY'!G$3:G$14)-1,"")=-100%,"",IFERROR('Daily SY'!G10/MAX('Daily SY'!G$3:G$14)-1,""))</f>
        <v/>
      </c>
      <c r="G10" s="6" t="str">
        <f>IF(IFERROR('Daily SY'!H10/MAX('Daily SY'!H$3:H$14)-1,"")=-100%,"",IFERROR('Daily SY'!H10/MAX('Daily SY'!H$3:H$14)-1,""))</f>
        <v/>
      </c>
      <c r="H10" s="6" t="str">
        <f>IF(IFERROR('Daily SY'!I10/MAX('Daily SY'!I$3:I$18)-1,"")=-100%,"",IFERROR('Daily SY'!I10/MAX('Daily SY'!I$3:I$18)-1,""))</f>
        <v/>
      </c>
      <c r="I10" s="6" t="str">
        <f>IF(IFERROR('Daily SY'!J10/MAX('Daily SY'!J$3:J$14)-1,"")=-100%,"",IFERROR('Daily SY'!J10/MAX('Daily SY'!J$3:J$14)-1,""))</f>
        <v/>
      </c>
      <c r="J10" s="6" t="str">
        <f>IF(IFERROR('Daily SY'!K10/MAX('Daily SY'!K$3:K$14)-1,"")=-100%,"",IFERROR('Daily SY'!K10/MAX('Daily SY'!K$3:K$14)-1,""))</f>
        <v/>
      </c>
      <c r="K10" s="6" t="str">
        <f>IF(IFERROR('Daily SY'!L10/MAX('Daily SY'!L$3:L$14)-1,"")=-100%,"",IFERROR('Daily SY'!L10/MAX('Daily SY'!L$3:L$14)-1,""))</f>
        <v/>
      </c>
      <c r="L10" s="6" t="str">
        <f>IF(IFERROR('Daily SY'!M10/MAX('Daily SY'!M$3:M$14)-1,"")=-100%,"",IFERROR('Daily SY'!M10/MAX('Daily SY'!M$3:M$14)-1,""))</f>
        <v/>
      </c>
      <c r="M10" s="6" t="str">
        <f>IF(IFERROR('Daily SY'!N10/MAX('Daily SY'!N$3:N$14)-1,"")=-100%,"",IFERROR('Daily SY'!N10/MAX('Daily SY'!N$3:N$14)-1,""))</f>
        <v/>
      </c>
      <c r="N10" s="6" t="str">
        <f>IF(IFERROR('Daily SY'!O10/MAX('Daily SY'!O$3:O$14)-1,"")=-100%,"",IFERROR('Daily SY'!O10/MAX('Daily SY'!O$3:O$14)-1,""))</f>
        <v/>
      </c>
      <c r="O10" s="6" t="str">
        <f>IF(IFERROR('Daily SY'!P10/MAX('Daily SY'!P$3:P$14)-1,"")=-100%,"",IFERROR('Daily SY'!P10/MAX('Daily SY'!P$3:P$14)-1,""))</f>
        <v/>
      </c>
      <c r="P10" s="6">
        <f>IF(IFERROR('Daily SY'!Q10/MAX('Daily SY'!Q$3:Q$14)-1,"")=-100%,"",IFERROR('Daily SY'!Q10/MAX('Daily SY'!Q$3:Q$14)-1,""))</f>
        <v>-0.15714285714285714</v>
      </c>
      <c r="Q10" s="6" t="str">
        <f>IF(IFERROR('Daily SY'!R10/MAX('Daily SY'!R$3:R$14)-1,"")=-100%,"",IFERROR('Daily SY'!R10/MAX('Daily SY'!R$3:R$14)-1,""))</f>
        <v/>
      </c>
      <c r="R10" s="6" t="str">
        <f>IF(IFERROR('Daily SY'!S10/MAX('Daily SY'!S$3:S$14)-1,"")=-100%,"",IFERROR('Daily SY'!S10/MAX('Daily SY'!S$3:S$14)-1,""))</f>
        <v/>
      </c>
      <c r="S10" s="6">
        <f>IF(IFERROR('Daily SY'!T10/MAX('Daily SY'!T$3:T$14)-1,"")=-100%,"",IFERROR('Daily SY'!T10/MAX('Daily SY'!T$3:T$14)-1,""))</f>
        <v>-0.28341754708314193</v>
      </c>
      <c r="T10" s="6" t="str">
        <f>IF(IFERROR('Daily SY'!U10/MAX('Daily SY'!U$3:U$14)-1,"")=-100%,"",IFERROR('Daily SY'!U10/MAX('Daily SY'!U$3:U$14)-1,""))</f>
        <v/>
      </c>
      <c r="U10" s="6" t="str">
        <f>IF(IFERROR('Daily SY'!V10/MAX('Daily SY'!V$3:V$14)-1,"")=-100%,"",IFERROR('Daily SY'!V10/MAX('Daily SY'!V$3:V$14)-1,""))</f>
        <v/>
      </c>
      <c r="V10" s="6" t="str">
        <f>IF(IFERROR('Daily SY'!W10/MAX('Daily SY'!W$3:W$14)-1,"")=-100%,"",IFERROR('Daily SY'!W10/MAX('Daily SY'!W$3:W$14)-1,""))</f>
        <v/>
      </c>
      <c r="W10" s="6" t="str">
        <f>IF(IFERROR('Daily SY'!X10/MAX('Daily SY'!X$3:X$14)-1,"")=-100%,"",IFERROR('Daily SY'!X10/MAX('Daily SY'!X$3:X$14)-1,""))</f>
        <v/>
      </c>
      <c r="X10" s="6" t="str">
        <f>IF(IFERROR('Daily SY'!Y10/MAX('Daily SY'!Y$3:Y$14)-1,"")=-100%,"",IFERROR('Daily SY'!Y10/MAX('Daily SY'!Y$3:Y$14)-1,""))</f>
        <v/>
      </c>
      <c r="Y10" s="6" t="str">
        <f>IF(IFERROR('Daily SY'!Z10/MAX('Daily SY'!Z$3:Z$14)-1,"")=-100%,"",IFERROR('Daily SY'!Z10/MAX('Daily SY'!Z$3:Z$14)-1,""))</f>
        <v/>
      </c>
      <c r="Z10" s="6" t="str">
        <f>IF(IFERROR('Daily SY'!AA10/MAX('Daily SY'!AA$3:AA$14)-1,"")=-100%,"",IFERROR('Daily SY'!AA10/MAX('Daily SY'!AA$3:AA$14)-1,""))</f>
        <v/>
      </c>
      <c r="AA10" s="6" t="str">
        <f>IF(IFERROR('Daily SY'!AB10/MAX('Daily SY'!AB$3:AB$14)-1,"")=-100%,"",IFERROR('Daily SY'!AB10/MAX('Daily SY'!AB$3:AB$14)-1,""))</f>
        <v/>
      </c>
      <c r="AB10" s="6" t="str">
        <f>IF(IFERROR('Daily SY'!AC10/MAX('Daily SY'!AC$3:AC$14)-1,"")=-100%,"",IFERROR('Daily SY'!AC10/MAX('Daily SY'!AC$3:AC$14)-1,""))</f>
        <v/>
      </c>
      <c r="AC10" s="6" t="str">
        <f>IF(IFERROR('Daily SY'!AD10/MAX('Daily SY'!AD$3:AD$14)-1,"")=-100%,"",IFERROR('Daily SY'!AD10/MAX('Daily SY'!AD$3:AD$14)-1,""))</f>
        <v/>
      </c>
      <c r="AD10" s="6" t="str">
        <f>IF(IFERROR('Daily SY'!AE10/MAX('Daily SY'!AE$3:AE$14)-1,"")=-100%,"",IFERROR('Daily SY'!AE10/MAX('Daily SY'!AE$3:AE$14)-1,""))</f>
        <v/>
      </c>
      <c r="AE10" s="10" t="str">
        <f>IF(IFERROR('Daily SY'!AF10/MAX('Daily SY'!AF$3:AF$14)-1,"")=-100%,"",IFERROR('Daily SY'!AF10/MAX('Daily SY'!AF$3:AF$14)-1,""))</f>
        <v/>
      </c>
      <c r="AF10" s="10" t="str">
        <f>IF(IFERROR('Daily SY'!AG10/MAX('Daily SY'!AG$3:AG$14)-1,"")=-100%,"",IFERROR('Daily SY'!AG10/MAX('Daily SY'!AG$3:AG$14)-1,""))</f>
        <v/>
      </c>
    </row>
    <row r="11" spans="1:32" ht="15.75">
      <c r="A11" s="5" t="s">
        <v>45</v>
      </c>
      <c r="B11" s="6">
        <f>IF(IFERROR('Daily SY'!C11/MAX('Daily SY'!C$3:C$14)-1,"")=-100%,"",IFERROR('Daily SY'!C11/MAX('Daily SY'!C$3:C$14)-1,""))</f>
        <v>-1.8726591760299671E-3</v>
      </c>
      <c r="C11" s="6" t="str">
        <f>IF(IFERROR('Daily SY'!D11/MAX('Daily SY'!D$3:D$14)-1,"")=-100%,"",IFERROR('Daily SY'!D11/MAX('Daily SY'!D$3:D$14)-1,""))</f>
        <v/>
      </c>
      <c r="D11" s="6" t="str">
        <f>IF(IFERROR('Daily SY'!E11/MAX('Daily SY'!E$3:E$14)-1,"")=-100%,"",IFERROR('Daily SY'!E11/MAX('Daily SY'!E$3:E$14)-1,""))</f>
        <v/>
      </c>
      <c r="E11" s="6" t="str">
        <f>IF(IFERROR('Daily SY'!F11/MAX('Daily SY'!F$3:F$14)-1,"")=-100%,"",IFERROR('Daily SY'!F11/MAX('Daily SY'!F$3:F$14)-1,""))</f>
        <v/>
      </c>
      <c r="F11" s="6" t="str">
        <f>IF(IFERROR('Daily SY'!G11/MAX('Daily SY'!G$3:G$14)-1,"")=-100%,"",IFERROR('Daily SY'!G11/MAX('Daily SY'!G$3:G$14)-1,""))</f>
        <v/>
      </c>
      <c r="G11" s="6" t="str">
        <f>IF(IFERROR('Daily SY'!H11/MAX('Daily SY'!H$3:H$14)-1,"")=-100%,"",IFERROR('Daily SY'!H11/MAX('Daily SY'!H$3:H$14)-1,""))</f>
        <v/>
      </c>
      <c r="H11" s="6" t="str">
        <f>IF(IFERROR('Daily SY'!I11/MAX('Daily SY'!I$3:I$18)-1,"")=-100%,"",IFERROR('Daily SY'!I11/MAX('Daily SY'!I$3:I$18)-1,""))</f>
        <v/>
      </c>
      <c r="I11" s="6" t="str">
        <f>IF(IFERROR('Daily SY'!J11/MAX('Daily SY'!J$3:J$14)-1,"")=-100%,"",IFERROR('Daily SY'!J11/MAX('Daily SY'!J$3:J$14)-1,""))</f>
        <v/>
      </c>
      <c r="J11" s="6" t="str">
        <f>IF(IFERROR('Daily SY'!K11/MAX('Daily SY'!K$3:K$14)-1,"")=-100%,"",IFERROR('Daily SY'!K11/MAX('Daily SY'!K$3:K$14)-1,""))</f>
        <v/>
      </c>
      <c r="K11" s="6" t="str">
        <f>IF(IFERROR('Daily SY'!L11/MAX('Daily SY'!L$3:L$14)-1,"")=-100%,"",IFERROR('Daily SY'!L11/MAX('Daily SY'!L$3:L$14)-1,""))</f>
        <v/>
      </c>
      <c r="L11" s="6" t="str">
        <f>IF(IFERROR('Daily SY'!M11/MAX('Daily SY'!M$3:M$14)-1,"")=-100%,"",IFERROR('Daily SY'!M11/MAX('Daily SY'!M$3:M$14)-1,""))</f>
        <v/>
      </c>
      <c r="M11" s="6" t="str">
        <f>IF(IFERROR('Daily SY'!N11/MAX('Daily SY'!N$3:N$14)-1,"")=-100%,"",IFERROR('Daily SY'!N11/MAX('Daily SY'!N$3:N$14)-1,""))</f>
        <v/>
      </c>
      <c r="N11" s="6" t="str">
        <f>IF(IFERROR('Daily SY'!O11/MAX('Daily SY'!O$3:O$14)-1,"")=-100%,"",IFERROR('Daily SY'!O11/MAX('Daily SY'!O$3:O$14)-1,""))</f>
        <v/>
      </c>
      <c r="O11" s="6" t="str">
        <f>IF(IFERROR('Daily SY'!P11/MAX('Daily SY'!P$3:P$14)-1,"")=-100%,"",IFERROR('Daily SY'!P11/MAX('Daily SY'!P$3:P$14)-1,""))</f>
        <v/>
      </c>
      <c r="P11" s="6">
        <f>IF(IFERROR('Daily SY'!Q11/MAX('Daily SY'!Q$3:Q$14)-1,"")=-100%,"",IFERROR('Daily SY'!Q11/MAX('Daily SY'!Q$3:Q$14)-1,""))</f>
        <v>-8.5714285714285632E-2</v>
      </c>
      <c r="Q11" s="6" t="str">
        <f>IF(IFERROR('Daily SY'!R11/MAX('Daily SY'!R$3:R$14)-1,"")=-100%,"",IFERROR('Daily SY'!R11/MAX('Daily SY'!R$3:R$14)-1,""))</f>
        <v/>
      </c>
      <c r="R11" s="6" t="str">
        <f>IF(IFERROR('Daily SY'!S11/MAX('Daily SY'!S$3:S$14)-1,"")=-100%,"",IFERROR('Daily SY'!S11/MAX('Daily SY'!S$3:S$14)-1,""))</f>
        <v/>
      </c>
      <c r="S11" s="6">
        <f>IF(IFERROR('Daily SY'!T11/MAX('Daily SY'!T$3:T$14)-1,"")=-100%,"",IFERROR('Daily SY'!T11/MAX('Daily SY'!T$3:T$14)-1,""))</f>
        <v>-8.934313275149286E-2</v>
      </c>
      <c r="T11" s="6" t="str">
        <f>IF(IFERROR('Daily SY'!U11/MAX('Daily SY'!U$3:U$14)-1,"")=-100%,"",IFERROR('Daily SY'!U11/MAX('Daily SY'!U$3:U$14)-1,""))</f>
        <v/>
      </c>
      <c r="U11" s="6" t="str">
        <f>IF(IFERROR('Daily SY'!V11/MAX('Daily SY'!V$3:V$14)-1,"")=-100%,"",IFERROR('Daily SY'!V11/MAX('Daily SY'!V$3:V$14)-1,""))</f>
        <v/>
      </c>
      <c r="V11" s="6" t="str">
        <f>IF(IFERROR('Daily SY'!W11/MAX('Daily SY'!W$3:W$14)-1,"")=-100%,"",IFERROR('Daily SY'!W11/MAX('Daily SY'!W$3:W$14)-1,""))</f>
        <v/>
      </c>
      <c r="W11" s="6" t="str">
        <f>IF(IFERROR('Daily SY'!X11/MAX('Daily SY'!X$3:X$14)-1,"")=-100%,"",IFERROR('Daily SY'!X11/MAX('Daily SY'!X$3:X$14)-1,""))</f>
        <v/>
      </c>
      <c r="X11" s="6" t="str">
        <f>IF(IFERROR('Daily SY'!Y11/MAX('Daily SY'!Y$3:Y$14)-1,"")=-100%,"",IFERROR('Daily SY'!Y11/MAX('Daily SY'!Y$3:Y$14)-1,""))</f>
        <v/>
      </c>
      <c r="Y11" s="6" t="str">
        <f>IF(IFERROR('Daily SY'!Z11/MAX('Daily SY'!Z$3:Z$14)-1,"")=-100%,"",IFERROR('Daily SY'!Z11/MAX('Daily SY'!Z$3:Z$14)-1,""))</f>
        <v/>
      </c>
      <c r="Z11" s="6" t="str">
        <f>IF(IFERROR('Daily SY'!AA11/MAX('Daily SY'!AA$3:AA$14)-1,"")=-100%,"",IFERROR('Daily SY'!AA11/MAX('Daily SY'!AA$3:AA$14)-1,""))</f>
        <v/>
      </c>
      <c r="AA11" s="6" t="str">
        <f>IF(IFERROR('Daily SY'!AB11/MAX('Daily SY'!AB$3:AB$14)-1,"")=-100%,"",IFERROR('Daily SY'!AB11/MAX('Daily SY'!AB$3:AB$14)-1,""))</f>
        <v/>
      </c>
      <c r="AB11" s="6" t="str">
        <f>IF(IFERROR('Daily SY'!AC11/MAX('Daily SY'!AC$3:AC$14)-1,"")=-100%,"",IFERROR('Daily SY'!AC11/MAX('Daily SY'!AC$3:AC$14)-1,""))</f>
        <v/>
      </c>
      <c r="AC11" s="6" t="str">
        <f>IF(IFERROR('Daily SY'!AD11/MAX('Daily SY'!AD$3:AD$14)-1,"")=-100%,"",IFERROR('Daily SY'!AD11/MAX('Daily SY'!AD$3:AD$14)-1,""))</f>
        <v/>
      </c>
      <c r="AD11" s="6" t="str">
        <f>IF(IFERROR('Daily SY'!AE11/MAX('Daily SY'!AE$3:AE$14)-1,"")=-100%,"",IFERROR('Daily SY'!AE11/MAX('Daily SY'!AE$3:AE$14)-1,""))</f>
        <v/>
      </c>
      <c r="AE11" s="10" t="str">
        <f>IF(IFERROR('Daily SY'!AF11/MAX('Daily SY'!AF$3:AF$14)-1,"")=-100%,"",IFERROR('Daily SY'!AF11/MAX('Daily SY'!AF$3:AF$14)-1,""))</f>
        <v/>
      </c>
      <c r="AF11" s="10" t="str">
        <f>IF(IFERROR('Daily SY'!AG11/MAX('Daily SY'!AG$3:AG$14)-1,"")=-100%,"",IFERROR('Daily SY'!AG11/MAX('Daily SY'!AG$3:AG$14)-1,""))</f>
        <v/>
      </c>
    </row>
    <row r="12" spans="1:32" ht="15.75">
      <c r="A12" s="5" t="s">
        <v>46</v>
      </c>
      <c r="B12" s="6">
        <f>IF(IFERROR('Daily SY'!C12/MAX('Daily SY'!C$3:C$14)-1,"")=-100%,"",IFERROR('Daily SY'!C12/MAX('Daily SY'!C$3:C$14)-1,""))</f>
        <v>-3.9325842696629199E-2</v>
      </c>
      <c r="C12" s="6" t="str">
        <f>IF(IFERROR('Daily SY'!D12/MAX('Daily SY'!D$3:D$14)-1,"")=-100%,"",IFERROR('Daily SY'!D12/MAX('Daily SY'!D$3:D$14)-1,""))</f>
        <v/>
      </c>
      <c r="D12" s="6" t="str">
        <f>IF(IFERROR('Daily SY'!E12/MAX('Daily SY'!E$3:E$14)-1,"")=-100%,"",IFERROR('Daily SY'!E12/MAX('Daily SY'!E$3:E$14)-1,""))</f>
        <v/>
      </c>
      <c r="E12" s="6" t="str">
        <f>IF(IFERROR('Daily SY'!F12/MAX('Daily SY'!F$3:F$14)-1,"")=-100%,"",IFERROR('Daily SY'!F12/MAX('Daily SY'!F$3:F$14)-1,""))</f>
        <v/>
      </c>
      <c r="F12" s="6" t="str">
        <f>IF(IFERROR('Daily SY'!G12/MAX('Daily SY'!G$3:G$14)-1,"")=-100%,"",IFERROR('Daily SY'!G12/MAX('Daily SY'!G$3:G$14)-1,""))</f>
        <v/>
      </c>
      <c r="G12" s="6" t="str">
        <f>IF(IFERROR('Daily SY'!H12/MAX('Daily SY'!H$3:H$14)-1,"")=-100%,"",IFERROR('Daily SY'!H12/MAX('Daily SY'!H$3:H$14)-1,""))</f>
        <v/>
      </c>
      <c r="H12" s="6" t="str">
        <f>IF(IFERROR('Daily SY'!I12/MAX('Daily SY'!I$3:I$18)-1,"")=-100%,"",IFERROR('Daily SY'!I12/MAX('Daily SY'!I$3:I$18)-1,""))</f>
        <v/>
      </c>
      <c r="I12" s="6" t="str">
        <f>IF(IFERROR('Daily SY'!J12/MAX('Daily SY'!J$3:J$14)-1,"")=-100%,"",IFERROR('Daily SY'!J12/MAX('Daily SY'!J$3:J$14)-1,""))</f>
        <v/>
      </c>
      <c r="J12" s="6" t="str">
        <f>IF(IFERROR('Daily SY'!K12/MAX('Daily SY'!K$3:K$14)-1,"")=-100%,"",IFERROR('Daily SY'!K12/MAX('Daily SY'!K$3:K$14)-1,""))</f>
        <v/>
      </c>
      <c r="K12" s="6" t="str">
        <f>IF(IFERROR('Daily SY'!L12/MAX('Daily SY'!L$3:L$14)-1,"")=-100%,"",IFERROR('Daily SY'!L12/MAX('Daily SY'!L$3:L$14)-1,""))</f>
        <v/>
      </c>
      <c r="L12" s="6" t="str">
        <f>IF(IFERROR('Daily SY'!M12/MAX('Daily SY'!M$3:M$14)-1,"")=-100%,"",IFERROR('Daily SY'!M12/MAX('Daily SY'!M$3:M$14)-1,""))</f>
        <v/>
      </c>
      <c r="M12" s="6" t="str">
        <f>IF(IFERROR('Daily SY'!N12/MAX('Daily SY'!N$3:N$14)-1,"")=-100%,"",IFERROR('Daily SY'!N12/MAX('Daily SY'!N$3:N$14)-1,""))</f>
        <v/>
      </c>
      <c r="N12" s="6" t="str">
        <f>IF(IFERROR('Daily SY'!O12/MAX('Daily SY'!O$3:O$14)-1,"")=-100%,"",IFERROR('Daily SY'!O12/MAX('Daily SY'!O$3:O$14)-1,""))</f>
        <v/>
      </c>
      <c r="O12" s="6" t="str">
        <f>IF(IFERROR('Daily SY'!P12/MAX('Daily SY'!P$3:P$14)-1,"")=-100%,"",IFERROR('Daily SY'!P12/MAX('Daily SY'!P$3:P$14)-1,""))</f>
        <v/>
      </c>
      <c r="P12" s="6">
        <f>IF(IFERROR('Daily SY'!Q12/MAX('Daily SY'!Q$3:Q$14)-1,"")=-100%,"",IFERROR('Daily SY'!Q12/MAX('Daily SY'!Q$3:Q$14)-1,""))</f>
        <v>-0.14285714285714279</v>
      </c>
      <c r="Q12" s="6" t="str">
        <f>IF(IFERROR('Daily SY'!R12/MAX('Daily SY'!R$3:R$14)-1,"")=-100%,"",IFERROR('Daily SY'!R12/MAX('Daily SY'!R$3:R$14)-1,""))</f>
        <v/>
      </c>
      <c r="R12" s="6" t="str">
        <f>IF(IFERROR('Daily SY'!S12/MAX('Daily SY'!S$3:S$14)-1,"")=-100%,"",IFERROR('Daily SY'!S12/MAX('Daily SY'!S$3:S$14)-1,""))</f>
        <v/>
      </c>
      <c r="S12" s="6">
        <f>IF(IFERROR('Daily SY'!T12/MAX('Daily SY'!T$3:T$14)-1,"")=-100%,"",IFERROR('Daily SY'!T12/MAX('Daily SY'!T$3:T$14)-1,""))</f>
        <v>-6.8442811208084486E-2</v>
      </c>
      <c r="T12" s="6" t="str">
        <f>IF(IFERROR('Daily SY'!U12/MAX('Daily SY'!U$3:U$14)-1,"")=-100%,"",IFERROR('Daily SY'!U12/MAX('Daily SY'!U$3:U$14)-1,""))</f>
        <v/>
      </c>
      <c r="U12" s="6" t="str">
        <f>IF(IFERROR('Daily SY'!V12/MAX('Daily SY'!V$3:V$14)-1,"")=-100%,"",IFERROR('Daily SY'!V12/MAX('Daily SY'!V$3:V$14)-1,""))</f>
        <v/>
      </c>
      <c r="V12" s="6" t="str">
        <f>IF(IFERROR('Daily SY'!W12/MAX('Daily SY'!W$3:W$14)-1,"")=-100%,"",IFERROR('Daily SY'!W12/MAX('Daily SY'!W$3:W$14)-1,""))</f>
        <v/>
      </c>
      <c r="W12" s="6" t="str">
        <f>IF(IFERROR('Daily SY'!X12/MAX('Daily SY'!X$3:X$14)-1,"")=-100%,"",IFERROR('Daily SY'!X12/MAX('Daily SY'!X$3:X$14)-1,""))</f>
        <v/>
      </c>
      <c r="X12" s="6" t="str">
        <f>IF(IFERROR('Daily SY'!Y12/MAX('Daily SY'!Y$3:Y$14)-1,"")=-100%,"",IFERROR('Daily SY'!Y12/MAX('Daily SY'!Y$3:Y$14)-1,""))</f>
        <v/>
      </c>
      <c r="Y12" s="6" t="str">
        <f>IF(IFERROR('Daily SY'!Z12/MAX('Daily SY'!Z$3:Z$14)-1,"")=-100%,"",IFERROR('Daily SY'!Z12/MAX('Daily SY'!Z$3:Z$14)-1,""))</f>
        <v/>
      </c>
      <c r="Z12" s="6" t="str">
        <f>IF(IFERROR('Daily SY'!AA12/MAX('Daily SY'!AA$3:AA$14)-1,"")=-100%,"",IFERROR('Daily SY'!AA12/MAX('Daily SY'!AA$3:AA$14)-1,""))</f>
        <v/>
      </c>
      <c r="AA12" s="6" t="str">
        <f>IF(IFERROR('Daily SY'!AB12/MAX('Daily SY'!AB$3:AB$14)-1,"")=-100%,"",IFERROR('Daily SY'!AB12/MAX('Daily SY'!AB$3:AB$14)-1,""))</f>
        <v/>
      </c>
      <c r="AB12" s="6" t="str">
        <f>IF(IFERROR('Daily SY'!AC12/MAX('Daily SY'!AC$3:AC$14)-1,"")=-100%,"",IFERROR('Daily SY'!AC12/MAX('Daily SY'!AC$3:AC$14)-1,""))</f>
        <v/>
      </c>
      <c r="AC12" s="6" t="str">
        <f>IF(IFERROR('Daily SY'!AD12/MAX('Daily SY'!AD$3:AD$14)-1,"")=-100%,"",IFERROR('Daily SY'!AD12/MAX('Daily SY'!AD$3:AD$14)-1,""))</f>
        <v/>
      </c>
      <c r="AD12" s="6" t="str">
        <f>IF(IFERROR('Daily SY'!AE12/MAX('Daily SY'!AE$3:AE$14)-1,"")=-100%,"",IFERROR('Daily SY'!AE12/MAX('Daily SY'!AE$3:AE$14)-1,""))</f>
        <v/>
      </c>
      <c r="AE12" s="10" t="str">
        <f>IF(IFERROR('Daily SY'!AF12/MAX('Daily SY'!AF$3:AF$14)-1,"")=-100%,"",IFERROR('Daily SY'!AF12/MAX('Daily SY'!AF$3:AF$14)-1,""))</f>
        <v/>
      </c>
      <c r="AF12" s="10" t="str">
        <f>IF(IFERROR('Daily SY'!AG12/MAX('Daily SY'!AG$3:AG$14)-1,"")=-100%,"",IFERROR('Daily SY'!AG12/MAX('Daily SY'!AG$3:AG$14)-1,""))</f>
        <v/>
      </c>
    </row>
    <row r="13" spans="1:32" ht="15.75">
      <c r="A13" s="5" t="s">
        <v>47</v>
      </c>
      <c r="B13" s="6">
        <f>IF(IFERROR('Daily SY'!C13/MAX('Daily SY'!C$3:C$14)-1,"")=-100%,"",IFERROR('Daily SY'!C13/MAX('Daily SY'!C$3:C$14)-1,""))</f>
        <v>-3.3707865168539297E-2</v>
      </c>
      <c r="C13" s="6" t="str">
        <f>IF(IFERROR('Daily SY'!D13/MAX('Daily SY'!D$3:D$14)-1,"")=-100%,"",IFERROR('Daily SY'!D13/MAX('Daily SY'!D$3:D$14)-1,""))</f>
        <v/>
      </c>
      <c r="D13" s="6" t="str">
        <f>IF(IFERROR('Daily SY'!E13/MAX('Daily SY'!E$3:E$14)-1,"")=-100%,"",IFERROR('Daily SY'!E13/MAX('Daily SY'!E$3:E$14)-1,""))</f>
        <v/>
      </c>
      <c r="E13" s="6" t="str">
        <f>IF(IFERROR('Daily SY'!F13/MAX('Daily SY'!F$3:F$14)-1,"")=-100%,"",IFERROR('Daily SY'!F13/MAX('Daily SY'!F$3:F$14)-1,""))</f>
        <v/>
      </c>
      <c r="F13" s="6" t="str">
        <f>IF(IFERROR('Daily SY'!G13/MAX('Daily SY'!G$3:G$14)-1,"")=-100%,"",IFERROR('Daily SY'!G13/MAX('Daily SY'!G$3:G$14)-1,""))</f>
        <v/>
      </c>
      <c r="G13" s="6" t="str">
        <f>IF(IFERROR('Daily SY'!H13/MAX('Daily SY'!H$3:H$14)-1,"")=-100%,"",IFERROR('Daily SY'!H13/MAX('Daily SY'!H$3:H$14)-1,""))</f>
        <v/>
      </c>
      <c r="H13" s="6" t="str">
        <f>IF(IFERROR('Daily SY'!I13/MAX('Daily SY'!I$3:I$18)-1,"")=-100%,"",IFERROR('Daily SY'!I13/MAX('Daily SY'!I$3:I$18)-1,""))</f>
        <v/>
      </c>
      <c r="I13" s="6" t="str">
        <f>IF(IFERROR('Daily SY'!J13/MAX('Daily SY'!J$3:J$14)-1,"")=-100%,"",IFERROR('Daily SY'!J13/MAX('Daily SY'!J$3:J$14)-1,""))</f>
        <v/>
      </c>
      <c r="J13" s="6" t="str">
        <f>IF(IFERROR('Daily SY'!K13/MAX('Daily SY'!K$3:K$14)-1,"")=-100%,"",IFERROR('Daily SY'!K13/MAX('Daily SY'!K$3:K$14)-1,""))</f>
        <v/>
      </c>
      <c r="K13" s="6" t="str">
        <f>IF(IFERROR('Daily SY'!L13/MAX('Daily SY'!L$3:L$14)-1,"")=-100%,"",IFERROR('Daily SY'!L13/MAX('Daily SY'!L$3:L$14)-1,""))</f>
        <v/>
      </c>
      <c r="L13" s="6" t="str">
        <f>IF(IFERROR('Daily SY'!M13/MAX('Daily SY'!M$3:M$14)-1,"")=-100%,"",IFERROR('Daily SY'!M13/MAX('Daily SY'!M$3:M$14)-1,""))</f>
        <v/>
      </c>
      <c r="M13" s="6" t="str">
        <f>IF(IFERROR('Daily SY'!N13/MAX('Daily SY'!N$3:N$14)-1,"")=-100%,"",IFERROR('Daily SY'!N13/MAX('Daily SY'!N$3:N$14)-1,""))</f>
        <v/>
      </c>
      <c r="N13" s="6" t="str">
        <f>IF(IFERROR('Daily SY'!O13/MAX('Daily SY'!O$3:O$14)-1,"")=-100%,"",IFERROR('Daily SY'!O13/MAX('Daily SY'!O$3:O$14)-1,""))</f>
        <v/>
      </c>
      <c r="O13" s="6" t="str">
        <f>IF(IFERROR('Daily SY'!P13/MAX('Daily SY'!P$3:P$14)-1,"")=-100%,"",IFERROR('Daily SY'!P13/MAX('Daily SY'!P$3:P$14)-1,""))</f>
        <v/>
      </c>
      <c r="P13" s="6">
        <f>IF(IFERROR('Daily SY'!Q13/MAX('Daily SY'!Q$3:Q$14)-1,"")=-100%,"",IFERROR('Daily SY'!Q13/MAX('Daily SY'!Q$3:Q$14)-1,""))</f>
        <v>-0.15357142857142847</v>
      </c>
      <c r="Q13" s="6" t="str">
        <f>IF(IFERROR('Daily SY'!R13/MAX('Daily SY'!R$3:R$14)-1,"")=-100%,"",IFERROR('Daily SY'!R13/MAX('Daily SY'!R$3:R$14)-1,""))</f>
        <v/>
      </c>
      <c r="R13" s="6" t="str">
        <f>IF(IFERROR('Daily SY'!S13/MAX('Daily SY'!S$3:S$14)-1,"")=-100%,"",IFERROR('Daily SY'!S13/MAX('Daily SY'!S$3:S$14)-1,""))</f>
        <v/>
      </c>
      <c r="S13" s="6">
        <f>IF(IFERROR('Daily SY'!T13/MAX('Daily SY'!T$3:T$14)-1,"")=-100%,"",IFERROR('Daily SY'!T13/MAX('Daily SY'!T$3:T$14)-1,""))</f>
        <v>-0.16398713826366562</v>
      </c>
      <c r="T13" s="6" t="str">
        <f>IF(IFERROR('Daily SY'!U13/MAX('Daily SY'!U$3:U$14)-1,"")=-100%,"",IFERROR('Daily SY'!U13/MAX('Daily SY'!U$3:U$14)-1,""))</f>
        <v/>
      </c>
      <c r="U13" s="6" t="str">
        <f>IF(IFERROR('Daily SY'!V13/MAX('Daily SY'!V$3:V$14)-1,"")=-100%,"",IFERROR('Daily SY'!V13/MAX('Daily SY'!V$3:V$14)-1,""))</f>
        <v/>
      </c>
      <c r="V13" s="6" t="str">
        <f>IF(IFERROR('Daily SY'!W13/MAX('Daily SY'!W$3:W$14)-1,"")=-100%,"",IFERROR('Daily SY'!W13/MAX('Daily SY'!W$3:W$14)-1,""))</f>
        <v/>
      </c>
      <c r="W13" s="6" t="str">
        <f>IF(IFERROR('Daily SY'!X13/MAX('Daily SY'!X$3:X$14)-1,"")=-100%,"",IFERROR('Daily SY'!X13/MAX('Daily SY'!X$3:X$14)-1,""))</f>
        <v/>
      </c>
      <c r="X13" s="6" t="str">
        <f>IF(IFERROR('Daily SY'!Y13/MAX('Daily SY'!Y$3:Y$14)-1,"")=-100%,"",IFERROR('Daily SY'!Y13/MAX('Daily SY'!Y$3:Y$14)-1,""))</f>
        <v/>
      </c>
      <c r="Y13" s="6" t="str">
        <f>IF(IFERROR('Daily SY'!Z13/MAX('Daily SY'!Z$3:Z$14)-1,"")=-100%,"",IFERROR('Daily SY'!Z13/MAX('Daily SY'!Z$3:Z$14)-1,""))</f>
        <v/>
      </c>
      <c r="Z13" s="6" t="str">
        <f>IF(IFERROR('Daily SY'!AA13/MAX('Daily SY'!AA$3:AA$14)-1,"")=-100%,"",IFERROR('Daily SY'!AA13/MAX('Daily SY'!AA$3:AA$14)-1,""))</f>
        <v/>
      </c>
      <c r="AA13" s="6" t="str">
        <f>IF(IFERROR('Daily SY'!AB13/MAX('Daily SY'!AB$3:AB$14)-1,"")=-100%,"",IFERROR('Daily SY'!AB13/MAX('Daily SY'!AB$3:AB$14)-1,""))</f>
        <v/>
      </c>
      <c r="AB13" s="6" t="str">
        <f>IF(IFERROR('Daily SY'!AC13/MAX('Daily SY'!AC$3:AC$14)-1,"")=-100%,"",IFERROR('Daily SY'!AC13/MAX('Daily SY'!AC$3:AC$14)-1,""))</f>
        <v/>
      </c>
      <c r="AC13" s="6" t="str">
        <f>IF(IFERROR('Daily SY'!AD13/MAX('Daily SY'!AD$3:AD$14)-1,"")=-100%,"",IFERROR('Daily SY'!AD13/MAX('Daily SY'!AD$3:AD$14)-1,""))</f>
        <v/>
      </c>
      <c r="AD13" s="6" t="str">
        <f>IF(IFERROR('Daily SY'!AE13/MAX('Daily SY'!AE$3:AE$14)-1,"")=-100%,"",IFERROR('Daily SY'!AE13/MAX('Daily SY'!AE$3:AE$14)-1,""))</f>
        <v/>
      </c>
      <c r="AE13" s="10" t="str">
        <f>IF(IFERROR('Daily SY'!AF13/MAX('Daily SY'!AF$3:AF$14)-1,"")=-100%,"",IFERROR('Daily SY'!AF13/MAX('Daily SY'!AF$3:AF$14)-1,""))</f>
        <v/>
      </c>
      <c r="AF13" s="10" t="str">
        <f>IF(IFERROR('Daily SY'!AG13/MAX('Daily SY'!AG$3:AG$14)-1,"")=-100%,"",IFERROR('Daily SY'!AG13/MAX('Daily SY'!AG$3:AG$14)-1,""))</f>
        <v/>
      </c>
    </row>
    <row r="14" spans="1:32" ht="15.75">
      <c r="A14" s="5" t="s">
        <v>48</v>
      </c>
      <c r="B14" s="6">
        <f>IF(IFERROR('Daily SY'!C14/MAX('Daily SY'!C$3:C$14)-1,"")=-100%,"",IFERROR('Daily SY'!C14/MAX('Daily SY'!C$3:C$14)-1,""))</f>
        <v>-0.1067415730337079</v>
      </c>
      <c r="C14" s="6" t="str">
        <f>IF(IFERROR('Daily SY'!D14/MAX('Daily SY'!D$3:D$14)-1,"")=-100%,"",IFERROR('Daily SY'!D14/MAX('Daily SY'!D$3:D$14)-1,""))</f>
        <v/>
      </c>
      <c r="D14" s="6" t="str">
        <f>IF(IFERROR('Daily SY'!E14/MAX('Daily SY'!E$3:E$14)-1,"")=-100%,"",IFERROR('Daily SY'!E14/MAX('Daily SY'!E$3:E$14)-1,""))</f>
        <v/>
      </c>
      <c r="E14" s="6" t="str">
        <f>IF(IFERROR('Daily SY'!F14/MAX('Daily SY'!F$3:F$14)-1,"")=-100%,"",IFERROR('Daily SY'!F14/MAX('Daily SY'!F$3:F$14)-1,""))</f>
        <v/>
      </c>
      <c r="F14" s="6" t="str">
        <f>IF(IFERROR('Daily SY'!G14/MAX('Daily SY'!G$3:G$14)-1,"")=-100%,"",IFERROR('Daily SY'!G14/MAX('Daily SY'!G$3:G$14)-1,""))</f>
        <v/>
      </c>
      <c r="G14" s="6" t="str">
        <f>IF(IFERROR('Daily SY'!H14/MAX('Daily SY'!H$3:H$14)-1,"")=-100%,"",IFERROR('Daily SY'!H14/MAX('Daily SY'!H$3:H$14)-1,""))</f>
        <v/>
      </c>
      <c r="H14" s="6" t="str">
        <f>IF(IFERROR('Daily SY'!I18/MAX('Daily SY'!I$3:I$18)-1,"")=-100%,"",IFERROR('Daily SY'!I18/MAX('Daily SY'!I$3:I$18)-1,""))</f>
        <v/>
      </c>
      <c r="I14" s="6" t="str">
        <f>IF(IFERROR('Daily SY'!J14/MAX('Daily SY'!J$3:J$14)-1,"")=-100%,"",IFERROR('Daily SY'!J14/MAX('Daily SY'!J$3:J$14)-1,""))</f>
        <v/>
      </c>
      <c r="J14" s="6" t="str">
        <f>IF(IFERROR('Daily SY'!K14/MAX('Daily SY'!K$3:K$14)-1,"")=-100%,"",IFERROR('Daily SY'!K14/MAX('Daily SY'!K$3:K$14)-1,""))</f>
        <v/>
      </c>
      <c r="K14" s="6" t="str">
        <f>IF(IFERROR('Daily SY'!L14/MAX('Daily SY'!L$3:L$14)-1,"")=-100%,"",IFERROR('Daily SY'!L14/MAX('Daily SY'!L$3:L$14)-1,""))</f>
        <v/>
      </c>
      <c r="L14" s="6" t="str">
        <f>IF(IFERROR('Daily SY'!M14/MAX('Daily SY'!M$3:M$14)-1,"")=-100%,"",IFERROR('Daily SY'!M14/MAX('Daily SY'!M$3:M$14)-1,""))</f>
        <v/>
      </c>
      <c r="M14" s="6" t="str">
        <f>IF(IFERROR('Daily SY'!N14/MAX('Daily SY'!N$3:N$14)-1,"")=-100%,"",IFERROR('Daily SY'!N14/MAX('Daily SY'!N$3:N$14)-1,""))</f>
        <v/>
      </c>
      <c r="N14" s="6" t="str">
        <f>IF(IFERROR('Daily SY'!O14/MAX('Daily SY'!O$3:O$14)-1,"")=-100%,"",IFERROR('Daily SY'!O14/MAX('Daily SY'!O$3:O$14)-1,""))</f>
        <v/>
      </c>
      <c r="O14" s="6" t="str">
        <f>IF(IFERROR('Daily SY'!P14/MAX('Daily SY'!P$3:P$14)-1,"")=-100%,"",IFERROR('Daily SY'!P14/MAX('Daily SY'!P$3:P$14)-1,""))</f>
        <v/>
      </c>
      <c r="P14" s="6">
        <f>IF(IFERROR('Daily SY'!Q14/MAX('Daily SY'!Q$3:Q$14)-1,"")=-100%,"",IFERROR('Daily SY'!Q14/MAX('Daily SY'!Q$3:Q$14)-1,""))</f>
        <v>0</v>
      </c>
      <c r="Q14" s="6" t="str">
        <f>IF(IFERROR('Daily SY'!R14/MAX('Daily SY'!R$3:R$14)-1,"")=-100%,"",IFERROR('Daily SY'!R14/MAX('Daily SY'!R$3:R$14)-1,""))</f>
        <v/>
      </c>
      <c r="R14" s="6" t="str">
        <f>IF(IFERROR('Daily SY'!S14/MAX('Daily SY'!S$3:S$14)-1,"")=-100%,"",IFERROR('Daily SY'!S14/MAX('Daily SY'!S$3:S$14)-1,""))</f>
        <v/>
      </c>
      <c r="S14" s="6">
        <f>IF(IFERROR('Daily SY'!T14/MAX('Daily SY'!T$3:T$14)-1,"")=-100%,"",IFERROR('Daily SY'!T14/MAX('Daily SY'!T$3:T$14)-1,""))</f>
        <v>-3.215434083601254E-3</v>
      </c>
      <c r="T14" s="6" t="str">
        <f>IF(IFERROR('Daily SY'!U14/MAX('Daily SY'!U$3:U$14)-1,"")=-100%,"",IFERROR('Daily SY'!U14/MAX('Daily SY'!U$3:U$14)-1,""))</f>
        <v/>
      </c>
      <c r="U14" s="6" t="str">
        <f>IF(IFERROR('Daily SY'!V14/MAX('Daily SY'!V$3:V$14)-1,"")=-100%,"",IFERROR('Daily SY'!V14/MAX('Daily SY'!V$3:V$14)-1,""))</f>
        <v/>
      </c>
      <c r="V14" s="6" t="str">
        <f>IF(IFERROR('Daily SY'!W14/MAX('Daily SY'!W$3:W$14)-1,"")=-100%,"",IFERROR('Daily SY'!W14/MAX('Daily SY'!W$3:W$14)-1,""))</f>
        <v/>
      </c>
      <c r="W14" s="6" t="str">
        <f>IF(IFERROR('Daily SY'!X14/MAX('Daily SY'!X$3:X$14)-1,"")=-100%,"",IFERROR('Daily SY'!X14/MAX('Daily SY'!X$3:X$14)-1,""))</f>
        <v/>
      </c>
      <c r="X14" s="6" t="str">
        <f>IF(IFERROR('Daily SY'!Y14/MAX('Daily SY'!Y$3:Y$14)-1,"")=-100%,"",IFERROR('Daily SY'!Y14/MAX('Daily SY'!Y$3:Y$14)-1,""))</f>
        <v/>
      </c>
      <c r="Y14" s="6" t="str">
        <f>IF(IFERROR('Daily SY'!Z14/MAX('Daily SY'!Z$3:Z$14)-1,"")=-100%,"",IFERROR('Daily SY'!Z14/MAX('Daily SY'!Z$3:Z$14)-1,""))</f>
        <v/>
      </c>
      <c r="Z14" s="6" t="str">
        <f>IF(IFERROR('Daily SY'!AA14/MAX('Daily SY'!AA$3:AA$14)-1,"")=-100%,"",IFERROR('Daily SY'!AA14/MAX('Daily SY'!AA$3:AA$14)-1,""))</f>
        <v/>
      </c>
      <c r="AA14" s="6" t="str">
        <f>IF(IFERROR('Daily SY'!AB14/MAX('Daily SY'!AB$3:AB$14)-1,"")=-100%,"",IFERROR('Daily SY'!AB14/MAX('Daily SY'!AB$3:AB$14)-1,""))</f>
        <v/>
      </c>
      <c r="AB14" s="6" t="str">
        <f>IF(IFERROR('Daily SY'!AC14/MAX('Daily SY'!AC$3:AC$14)-1,"")=-100%,"",IFERROR('Daily SY'!AC14/MAX('Daily SY'!AC$3:AC$14)-1,""))</f>
        <v/>
      </c>
      <c r="AC14" s="6" t="str">
        <f>IF(IFERROR('Daily SY'!AD14/MAX('Daily SY'!AD$3:AD$14)-1,"")=-100%,"",IFERROR('Daily SY'!AD14/MAX('Daily SY'!AD$3:AD$14)-1,""))</f>
        <v/>
      </c>
      <c r="AD14" s="6" t="str">
        <f>IF(IFERROR('Daily SY'!AE14/MAX('Daily SY'!AE$3:AE$14)-1,"")=-100%,"",IFERROR('Daily SY'!AE14/MAX('Daily SY'!AE$3:AE$14)-1,""))</f>
        <v/>
      </c>
      <c r="AE14" s="10" t="str">
        <f>IF(IFERROR('Daily SY'!AF14/MAX('Daily SY'!AF$3:AF$14)-1,"")=-100%,"",IFERROR('Daily SY'!AF14/MAX('Daily SY'!AF$3:AF$14)-1,""))</f>
        <v/>
      </c>
      <c r="AF14" s="10" t="str">
        <f>IF(IFERROR('Daily SY'!AG14/MAX('Daily SY'!AG$3:AG$14)-1,"")=-100%,"",IFERROR('Daily SY'!AG14/MAX('Daily SY'!AG$3:AG$14)-1,""))</f>
        <v/>
      </c>
    </row>
    <row r="15" spans="1:32" ht="15.75">
      <c r="A15" s="5" t="s">
        <v>49</v>
      </c>
      <c r="B15" s="6">
        <f>IF(IFERROR('Daily SY'!C15/MAX('Daily SY'!C$3:C$14)-1,"")=-100%,"",IFERROR('Daily SY'!C15/MAX('Daily SY'!C$3:C$14)-1,""))</f>
        <v>-0.11423220973782766</v>
      </c>
      <c r="C15" s="6" t="str">
        <f>IF(IFERROR('Daily SY'!D15/MAX('Daily SY'!D$3:D$14)-1,"")=-100%,"",IFERROR('Daily SY'!D15/MAX('Daily SY'!D$3:D$14)-1,""))</f>
        <v/>
      </c>
      <c r="D15" s="6" t="str">
        <f>IF(IFERROR('Daily SY'!E15/MAX('Daily SY'!E$3:E$14)-1,"")=-100%,"",IFERROR('Daily SY'!E15/MAX('Daily SY'!E$3:E$14)-1,""))</f>
        <v/>
      </c>
      <c r="E15" s="6" t="str">
        <f>IF(IFERROR('Daily SY'!F15/MAX('Daily SY'!F$3:F$14)-1,"")=-100%,"",IFERROR('Daily SY'!F15/MAX('Daily SY'!F$3:F$14)-1,""))</f>
        <v/>
      </c>
      <c r="F15" s="6" t="str">
        <f>IF(IFERROR('Daily SY'!G15/MAX('Daily SY'!G$3:G$14)-1,"")=-100%,"",IFERROR('Daily SY'!G15/MAX('Daily SY'!G$3:G$14)-1,""))</f>
        <v/>
      </c>
      <c r="G15" s="6" t="str">
        <f>IF(IFERROR('Daily SY'!H15/MAX('Daily SY'!H$3:H$14)-1,"")=-100%,"",IFERROR('Daily SY'!H15/MAX('Daily SY'!H$3:H$14)-1,""))</f>
        <v/>
      </c>
      <c r="H15" s="6" t="str">
        <f>IF(IFERROR('Daily SY'!I15/MAX('Daily SY'!I$3:I$14)-1,"")=-100%,"",IFERROR('Daily SY'!I15/MAX('Daily SY'!I$3:I$14)-1,""))</f>
        <v/>
      </c>
      <c r="I15" s="6" t="str">
        <f>IF(IFERROR('Daily SY'!J15/MAX('Daily SY'!J$3:J$14)-1,"")=-100%,"",IFERROR('Daily SY'!J15/MAX('Daily SY'!J$3:J$14)-1,""))</f>
        <v/>
      </c>
      <c r="J15" s="6" t="str">
        <f>IF(IFERROR('Daily SY'!K15/MAX('Daily SY'!K$3:K$14)-1,"")=-100%,"",IFERROR('Daily SY'!K15/MAX('Daily SY'!K$3:K$14)-1,""))</f>
        <v/>
      </c>
      <c r="K15" s="6" t="str">
        <f>IF(IFERROR('Daily SY'!L15/MAX('Daily SY'!L$3:L$14)-1,"")=-100%,"",IFERROR('Daily SY'!L15/MAX('Daily SY'!L$3:L$14)-1,""))</f>
        <v/>
      </c>
      <c r="L15" s="6" t="str">
        <f>IF(IFERROR('Daily SY'!M15/MAX('Daily SY'!M$3:M$14)-1,"")=-100%,"",IFERROR('Daily SY'!M15/MAX('Daily SY'!M$3:M$14)-1,""))</f>
        <v/>
      </c>
      <c r="M15" s="6" t="str">
        <f>IF(IFERROR('Daily SY'!N15/MAX('Daily SY'!N$3:N$14)-1,"")=-100%,"",IFERROR('Daily SY'!N15/MAX('Daily SY'!N$3:N$14)-1,""))</f>
        <v/>
      </c>
      <c r="N15" s="6" t="str">
        <f>IF(IFERROR('Daily SY'!O15/MAX('Daily SY'!O$3:O$14)-1,"")=-100%,"",IFERROR('Daily SY'!O15/MAX('Daily SY'!O$3:O$14)-1,""))</f>
        <v/>
      </c>
      <c r="O15" s="6" t="str">
        <f>IF(IFERROR('Daily SY'!P15/MAX('Daily SY'!P$3:P$14)-1,"")=-100%,"",IFERROR('Daily SY'!P15/MAX('Daily SY'!P$3:P$14)-1,""))</f>
        <v/>
      </c>
      <c r="P15" s="6">
        <f>IF(IFERROR('Daily SY'!Q15/MAX('Daily SY'!Q$3:Q$14)-1,"")=-100%,"",IFERROR('Daily SY'!Q15/MAX('Daily SY'!Q$3:Q$14)-1,""))</f>
        <v>-3.8461538461538325E-2</v>
      </c>
      <c r="Q15" s="6" t="str">
        <f>IF(IFERROR('Daily SY'!R15/MAX('Daily SY'!R$3:R$14)-1,"")=-100%,"",IFERROR('Daily SY'!R15/MAX('Daily SY'!R$3:R$14)-1,""))</f>
        <v/>
      </c>
      <c r="R15" s="6" t="str">
        <f>IF(IFERROR('Daily SY'!S15/MAX('Daily SY'!S$3:S$14)-1,"")=-100%,"",IFERROR('Daily SY'!S15/MAX('Daily SY'!S$3:S$14)-1,""))</f>
        <v/>
      </c>
      <c r="S15" s="6" t="str">
        <f>IF(IFERROR('Daily SY'!T15/MAX('Daily SY'!T$3:T$14)-1,"")=-100%,"",IFERROR('Daily SY'!T15/MAX('Daily SY'!T$3:T$14)-1,""))</f>
        <v/>
      </c>
      <c r="T15" s="6" t="str">
        <f>IF(IFERROR('Daily SY'!U15/MAX('Daily SY'!U$3:U$14)-1,"")=-100%,"",IFERROR('Daily SY'!U15/MAX('Daily SY'!U$3:U$14)-1,""))</f>
        <v/>
      </c>
      <c r="U15" s="6" t="str">
        <f>IF(IFERROR('Daily SY'!V15/MAX('Daily SY'!V$3:V$14)-1,"")=-100%,"",IFERROR('Daily SY'!V15/MAX('Daily SY'!V$3:V$14)-1,""))</f>
        <v/>
      </c>
      <c r="V15" s="6" t="str">
        <f>IF(IFERROR('Daily SY'!W15/MAX('Daily SY'!W$3:W$14)-1,"")=-100%,"",IFERROR('Daily SY'!W15/MAX('Daily SY'!W$3:W$14)-1,""))</f>
        <v/>
      </c>
      <c r="W15" s="6" t="str">
        <f>IF(IFERROR('Daily SY'!X15/MAX('Daily SY'!X$3:X$14)-1,"")=-100%,"",IFERROR('Daily SY'!X15/MAX('Daily SY'!X$3:X$14)-1,""))</f>
        <v/>
      </c>
      <c r="X15" s="6" t="str">
        <f>IF(IFERROR('Daily SY'!Y15/MAX('Daily SY'!Y$3:Y$14)-1,"")=-100%,"",IFERROR('Daily SY'!Y15/MAX('Daily SY'!Y$3:Y$14)-1,""))</f>
        <v/>
      </c>
      <c r="Y15" s="6" t="str">
        <f>IF(IFERROR('Daily SY'!Z15/MAX('Daily SY'!Z$3:Z$14)-1,"")=-100%,"",IFERROR('Daily SY'!Z15/MAX('Daily SY'!Z$3:Z$14)-1,""))</f>
        <v/>
      </c>
      <c r="Z15" s="6" t="str">
        <f>IF(IFERROR('Daily SY'!AA15/MAX('Daily SY'!AA$3:AA$14)-1,"")=-100%,"",IFERROR('Daily SY'!AA15/MAX('Daily SY'!AA$3:AA$14)-1,""))</f>
        <v/>
      </c>
      <c r="AA15" s="6" t="str">
        <f>IF(IFERROR('Daily SY'!AB15/MAX('Daily SY'!AB$3:AB$14)-1,"")=-100%,"",IFERROR('Daily SY'!AB15/MAX('Daily SY'!AB$3:AB$14)-1,""))</f>
        <v/>
      </c>
      <c r="AB15" s="6" t="str">
        <f>IF(IFERROR('Daily SY'!AC15/MAX('Daily SY'!AC$3:AC$14)-1,"")=-100%,"",IFERROR('Daily SY'!AC15/MAX('Daily SY'!AC$3:AC$14)-1,""))</f>
        <v/>
      </c>
      <c r="AC15" s="6" t="str">
        <f>IF(IFERROR('Daily SY'!AD15/MAX('Daily SY'!AD$3:AD$14)-1,"")=-100%,"",IFERROR('Daily SY'!AD15/MAX('Daily SY'!AD$3:AD$14)-1,""))</f>
        <v/>
      </c>
      <c r="AD15" s="6" t="str">
        <f>IF(IFERROR('Daily SY'!AE15/MAX('Daily SY'!AE$3:AE$14)-1,"")=-100%,"",IFERROR('Daily SY'!AE15/MAX('Daily SY'!AE$3:AE$14)-1,""))</f>
        <v/>
      </c>
      <c r="AE15" s="10" t="str">
        <f>IF(IFERROR('Daily SY'!AF15/MAX('Daily SY'!AF$3:AF$14)-1,"")=-100%,"",IFERROR('Daily SY'!AF15/MAX('Daily SY'!AF$3:AF$14)-1,""))</f>
        <v/>
      </c>
      <c r="AF15" s="10" t="str">
        <f>IF(IFERROR('Daily SY'!AG15/MAX('Daily SY'!AG$3:AG$14)-1,"")=-100%,"",IFERROR('Daily SY'!AG15/MAX('Daily SY'!AG$3:AG$14)-1,""))</f>
        <v/>
      </c>
    </row>
    <row r="16" spans="1:32" ht="15.75">
      <c r="A16" s="5" t="s">
        <v>50</v>
      </c>
      <c r="B16" s="6">
        <f>IF(IFERROR('Daily SY'!C16/MAX('Daily SY'!C$3:C$14)-1,"")=-100%,"",IFERROR('Daily SY'!C16/MAX('Daily SY'!C$3:C$14)-1,""))</f>
        <v>-0.11985018726591756</v>
      </c>
      <c r="C16" s="6" t="str">
        <f>IF(IFERROR('Daily SY'!D16/MAX('Daily SY'!D$3:D$14)-1,"")=-100%,"",IFERROR('Daily SY'!D16/MAX('Daily SY'!D$3:D$14)-1,""))</f>
        <v/>
      </c>
      <c r="D16" s="6" t="str">
        <f>IF(IFERROR('Daily SY'!E16/MAX('Daily SY'!E$3:E$14)-1,"")=-100%,"",IFERROR('Daily SY'!E16/MAX('Daily SY'!E$3:E$14)-1,""))</f>
        <v/>
      </c>
      <c r="E16" s="6" t="str">
        <f>IF(IFERROR('Daily SY'!F16/MAX('Daily SY'!F$3:F$14)-1,"")=-100%,"",IFERROR('Daily SY'!F16/MAX('Daily SY'!F$3:F$14)-1,""))</f>
        <v/>
      </c>
      <c r="F16" s="6" t="str">
        <f>IF(IFERROR('Daily SY'!G16/MAX('Daily SY'!G$3:G$14)-1,"")=-100%,"",IFERROR('Daily SY'!G16/MAX('Daily SY'!G$3:G$14)-1,""))</f>
        <v/>
      </c>
      <c r="G16" s="6" t="str">
        <f>IF(IFERROR('Daily SY'!H16/MAX('Daily SY'!H$3:H$14)-1,"")=-100%,"",IFERROR('Daily SY'!H16/MAX('Daily SY'!H$3:H$14)-1,""))</f>
        <v/>
      </c>
      <c r="H16" s="6" t="str">
        <f>IF(IFERROR('Daily SY'!I16/MAX('Daily SY'!I$3:I$14)-1,"")=-100%,"",IFERROR('Daily SY'!I16/MAX('Daily SY'!I$3:I$14)-1,""))</f>
        <v/>
      </c>
      <c r="I16" s="6" t="str">
        <f>IF(IFERROR('Daily SY'!J16/MAX('Daily SY'!J$3:J$14)-1,"")=-100%,"",IFERROR('Daily SY'!J16/MAX('Daily SY'!J$3:J$14)-1,""))</f>
        <v/>
      </c>
      <c r="J16" s="6" t="str">
        <f>IF(IFERROR('Daily SY'!K16/MAX('Daily SY'!K$3:K$14)-1,"")=-100%,"",IFERROR('Daily SY'!K16/MAX('Daily SY'!K$3:K$14)-1,""))</f>
        <v/>
      </c>
      <c r="K16" s="6" t="str">
        <f>IF(IFERROR('Daily SY'!L16/MAX('Daily SY'!L$3:L$14)-1,"")=-100%,"",IFERROR('Daily SY'!L16/MAX('Daily SY'!L$3:L$14)-1,""))</f>
        <v/>
      </c>
      <c r="L16" s="6" t="str">
        <f>IF(IFERROR('Daily SY'!M16/MAX('Daily SY'!M$3:M$14)-1,"")=-100%,"",IFERROR('Daily SY'!M16/MAX('Daily SY'!M$3:M$14)-1,""))</f>
        <v/>
      </c>
      <c r="M16" s="6" t="str">
        <f>IF(IFERROR('Daily SY'!N16/MAX('Daily SY'!N$3:N$14)-1,"")=-100%,"",IFERROR('Daily SY'!N16/MAX('Daily SY'!N$3:N$14)-1,""))</f>
        <v/>
      </c>
      <c r="N16" s="6" t="str">
        <f>IF(IFERROR('Daily SY'!O16/MAX('Daily SY'!O$3:O$14)-1,"")=-100%,"",IFERROR('Daily SY'!O16/MAX('Daily SY'!O$3:O$14)-1,""))</f>
        <v/>
      </c>
      <c r="O16" s="6" t="str">
        <f>IF(IFERROR('Daily SY'!P16/MAX('Daily SY'!P$3:P$14)-1,"")=-100%,"",IFERROR('Daily SY'!P16/MAX('Daily SY'!P$3:P$14)-1,""))</f>
        <v/>
      </c>
      <c r="P16" s="6" t="str">
        <f>IF(IFERROR('Daily SY'!Q16/MAX('Daily SY'!Q$3:Q$14)-1,"")=-100%,"",IFERROR('Daily SY'!Q16/MAX('Daily SY'!Q$3:Q$14)-1,""))</f>
        <v/>
      </c>
      <c r="Q16" s="6" t="str">
        <f>IF(IFERROR('Daily SY'!R16/MAX('Daily SY'!R$3:R$14)-1,"")=-100%,"",IFERROR('Daily SY'!R16/MAX('Daily SY'!R$3:R$14)-1,""))</f>
        <v/>
      </c>
      <c r="R16" s="6" t="str">
        <f>IF(IFERROR('Daily SY'!S16/MAX('Daily SY'!S$3:S$14)-1,"")=-100%,"",IFERROR('Daily SY'!S16/MAX('Daily SY'!S$3:S$14)-1,""))</f>
        <v/>
      </c>
      <c r="S16" s="6" t="str">
        <f>IF(IFERROR('Daily SY'!T16/MAX('Daily SY'!T$3:T$14)-1,"")=-100%,"",IFERROR('Daily SY'!T16/MAX('Daily SY'!T$3:T$14)-1,""))</f>
        <v/>
      </c>
      <c r="T16" s="6" t="str">
        <f>IF(IFERROR('Daily SY'!U16/MAX('Daily SY'!U$3:U$14)-1,"")=-100%,"",IFERROR('Daily SY'!U16/MAX('Daily SY'!U$3:U$14)-1,""))</f>
        <v/>
      </c>
      <c r="U16" s="6" t="str">
        <f>IF(IFERROR('Daily SY'!V16/MAX('Daily SY'!V$3:V$14)-1,"")=-100%,"",IFERROR('Daily SY'!V16/MAX('Daily SY'!V$3:V$14)-1,""))</f>
        <v/>
      </c>
      <c r="V16" s="6" t="str">
        <f>IF(IFERROR('Daily SY'!W16/MAX('Daily SY'!W$3:W$14)-1,"")=-100%,"",IFERROR('Daily SY'!W16/MAX('Daily SY'!W$3:W$14)-1,""))</f>
        <v/>
      </c>
      <c r="W16" s="6" t="str">
        <f>IF(IFERROR('Daily SY'!X16/MAX('Daily SY'!X$3:X$14)-1,"")=-100%,"",IFERROR('Daily SY'!X16/MAX('Daily SY'!X$3:X$14)-1,""))</f>
        <v/>
      </c>
      <c r="X16" s="6" t="str">
        <f>IF(IFERROR('Daily SY'!Y16/MAX('Daily SY'!Y$3:Y$14)-1,"")=-100%,"",IFERROR('Daily SY'!Y16/MAX('Daily SY'!Y$3:Y$14)-1,""))</f>
        <v/>
      </c>
      <c r="Y16" s="6" t="str">
        <f>IF(IFERROR('Daily SY'!Z16/MAX('Daily SY'!Z$3:Z$14)-1,"")=-100%,"",IFERROR('Daily SY'!Z16/MAX('Daily SY'!Z$3:Z$14)-1,""))</f>
        <v/>
      </c>
      <c r="Z16" s="6" t="str">
        <f>IF(IFERROR('Daily SY'!AA16/MAX('Daily SY'!AA$3:AA$14)-1,"")=-100%,"",IFERROR('Daily SY'!AA16/MAX('Daily SY'!AA$3:AA$14)-1,""))</f>
        <v/>
      </c>
      <c r="AA16" s="6" t="str">
        <f>IF(IFERROR('Daily SY'!AB16/MAX('Daily SY'!AB$3:AB$14)-1,"")=-100%,"",IFERROR('Daily SY'!AB16/MAX('Daily SY'!AB$3:AB$14)-1,""))</f>
        <v/>
      </c>
      <c r="AB16" s="6" t="str">
        <f>IF(IFERROR('Daily SY'!AC16/MAX('Daily SY'!AC$3:AC$14)-1,"")=-100%,"",IFERROR('Daily SY'!AC16/MAX('Daily SY'!AC$3:AC$14)-1,""))</f>
        <v/>
      </c>
      <c r="AC16" s="6" t="str">
        <f>IF(IFERROR('Daily SY'!AD16/MAX('Daily SY'!AD$3:AD$14)-1,"")=-100%,"",IFERROR('Daily SY'!AD16/MAX('Daily SY'!AD$3:AD$14)-1,""))</f>
        <v/>
      </c>
      <c r="AD16" s="6" t="str">
        <f>IF(IFERROR('Daily SY'!AE16/MAX('Daily SY'!AE$3:AE$14)-1,"")=-100%,"",IFERROR('Daily SY'!AE16/MAX('Daily SY'!AE$3:AE$14)-1,""))</f>
        <v/>
      </c>
      <c r="AE16" s="10" t="str">
        <f>IF(IFERROR('Daily SY'!AF16/MAX('Daily SY'!AF$3:AF$14)-1,"")=-100%,"",IFERROR('Daily SY'!AF16/MAX('Daily SY'!AF$3:AF$14)-1,""))</f>
        <v/>
      </c>
      <c r="AF16" s="10" t="str">
        <f>IF(IFERROR('Daily SY'!AG16/MAX('Daily SY'!AG$3:AG$14)-1,"")=-100%,"",IFERROR('Daily SY'!AG16/MAX('Daily SY'!AG$3:AG$14)-1,""))</f>
        <v/>
      </c>
    </row>
    <row r="17" spans="1:32" ht="15.75">
      <c r="A17" s="5" t="s">
        <v>51</v>
      </c>
      <c r="B17" s="6">
        <f>IF(IFERROR('Daily SY'!C17/MAX('Daily SY'!C$3:C$14)-1,"")=-100%,"",IFERROR('Daily SY'!C17/MAX('Daily SY'!C$3:C$14)-1,""))</f>
        <v>-0.1292134831460674</v>
      </c>
      <c r="C17" s="6" t="str">
        <f>IF(IFERROR('Daily SY'!D17/MAX('Daily SY'!D$3:D$14)-1,"")=-100%,"",IFERROR('Daily SY'!D17/MAX('Daily SY'!D$3:D$14)-1,""))</f>
        <v/>
      </c>
      <c r="D17" s="6" t="str">
        <f>IF(IFERROR('Daily SY'!E17/MAX('Daily SY'!E$3:E$14)-1,"")=-100%,"",IFERROR('Daily SY'!E17/MAX('Daily SY'!E$3:E$14)-1,""))</f>
        <v/>
      </c>
      <c r="E17" s="6" t="str">
        <f>IF(IFERROR('Daily SY'!F17/MAX('Daily SY'!F$3:F$14)-1,"")=-100%,"",IFERROR('Daily SY'!F17/MAX('Daily SY'!F$3:F$14)-1,""))</f>
        <v/>
      </c>
      <c r="F17" s="6" t="str">
        <f>IF(IFERROR('Daily SY'!G17/MAX('Daily SY'!G$3:G$14)-1,"")=-100%,"",IFERROR('Daily SY'!G17/MAX('Daily SY'!G$3:G$14)-1,""))</f>
        <v/>
      </c>
      <c r="G17" s="6" t="str">
        <f>IF(IFERROR('Daily SY'!H17/MAX('Daily SY'!H$3:H$14)-1,"")=-100%,"",IFERROR('Daily SY'!H17/MAX('Daily SY'!H$3:H$14)-1,""))</f>
        <v/>
      </c>
      <c r="H17" s="6" t="str">
        <f>IF(IFERROR('Daily SY'!I17/MAX('Daily SY'!I$3:I$14)-1,"")=-100%,"",IFERROR('Daily SY'!I17/MAX('Daily SY'!I$3:I$14)-1,""))</f>
        <v/>
      </c>
      <c r="I17" s="6" t="str">
        <f>IF(IFERROR('Daily SY'!J17/MAX('Daily SY'!J$3:J$14)-1,"")=-100%,"",IFERROR('Daily SY'!J17/MAX('Daily SY'!J$3:J$14)-1,""))</f>
        <v/>
      </c>
      <c r="J17" s="6" t="str">
        <f>IF(IFERROR('Daily SY'!K17/MAX('Daily SY'!K$3:K$14)-1,"")=-100%,"",IFERROR('Daily SY'!K17/MAX('Daily SY'!K$3:K$14)-1,""))</f>
        <v/>
      </c>
      <c r="K17" s="6" t="str">
        <f>IF(IFERROR('Daily SY'!L17/MAX('Daily SY'!L$3:L$14)-1,"")=-100%,"",IFERROR('Daily SY'!L17/MAX('Daily SY'!L$3:L$14)-1,""))</f>
        <v/>
      </c>
      <c r="L17" s="6" t="str">
        <f>IF(IFERROR('Daily SY'!M17/MAX('Daily SY'!M$3:M$14)-1,"")=-100%,"",IFERROR('Daily SY'!M17/MAX('Daily SY'!M$3:M$14)-1,""))</f>
        <v/>
      </c>
      <c r="M17" s="6" t="str">
        <f>IF(IFERROR('Daily SY'!N17/MAX('Daily SY'!N$3:N$14)-1,"")=-100%,"",IFERROR('Daily SY'!N17/MAX('Daily SY'!N$3:N$14)-1,""))</f>
        <v/>
      </c>
      <c r="N17" s="6" t="str">
        <f>IF(IFERROR('Daily SY'!O17/MAX('Daily SY'!O$3:O$14)-1,"")=-100%,"",IFERROR('Daily SY'!O17/MAX('Daily SY'!O$3:O$14)-1,""))</f>
        <v/>
      </c>
      <c r="O17" s="6" t="str">
        <f>IF(IFERROR('Daily SY'!P17/MAX('Daily SY'!P$3:P$14)-1,"")=-100%,"",IFERROR('Daily SY'!P17/MAX('Daily SY'!P$3:P$14)-1,""))</f>
        <v/>
      </c>
      <c r="P17" s="6" t="str">
        <f>IF(IFERROR('Daily SY'!Q17/MAX('Daily SY'!Q$3:Q$14)-1,"")=-100%,"",IFERROR('Daily SY'!Q17/MAX('Daily SY'!Q$3:Q$14)-1,""))</f>
        <v/>
      </c>
      <c r="Q17" s="6" t="str">
        <f>IF(IFERROR('Daily SY'!R17/MAX('Daily SY'!R$3:R$14)-1,"")=-100%,"",IFERROR('Daily SY'!R17/MAX('Daily SY'!R$3:R$14)-1,""))</f>
        <v/>
      </c>
      <c r="R17" s="6" t="str">
        <f>IF(IFERROR('Daily SY'!S17/MAX('Daily SY'!S$3:S$14)-1,"")=-100%,"",IFERROR('Daily SY'!S17/MAX('Daily SY'!S$3:S$14)-1,""))</f>
        <v/>
      </c>
      <c r="S17" s="6" t="str">
        <f>IF(IFERROR('Daily SY'!T17/MAX('Daily SY'!T$3:T$14)-1,"")=-100%,"",IFERROR('Daily SY'!T17/MAX('Daily SY'!T$3:T$14)-1,""))</f>
        <v/>
      </c>
      <c r="T17" s="6" t="str">
        <f>IF(IFERROR('Daily SY'!U17/MAX('Daily SY'!U$3:U$14)-1,"")=-100%,"",IFERROR('Daily SY'!U17/MAX('Daily SY'!U$3:U$14)-1,""))</f>
        <v/>
      </c>
      <c r="U17" s="6" t="str">
        <f>IF(IFERROR('Daily SY'!V17/MAX('Daily SY'!V$3:V$14)-1,"")=-100%,"",IFERROR('Daily SY'!V17/MAX('Daily SY'!V$3:V$14)-1,""))</f>
        <v/>
      </c>
      <c r="V17" s="6" t="str">
        <f>IF(IFERROR('Daily SY'!W17/MAX('Daily SY'!W$3:W$14)-1,"")=-100%,"",IFERROR('Daily SY'!W17/MAX('Daily SY'!W$3:W$14)-1,""))</f>
        <v/>
      </c>
      <c r="W17" s="6" t="str">
        <f>IF(IFERROR('Daily SY'!X17/MAX('Daily SY'!X$3:X$14)-1,"")=-100%,"",IFERROR('Daily SY'!X17/MAX('Daily SY'!X$3:X$14)-1,""))</f>
        <v/>
      </c>
      <c r="X17" s="6" t="str">
        <f>IF(IFERROR('Daily SY'!Y17/MAX('Daily SY'!Y$3:Y$14)-1,"")=-100%,"",IFERROR('Daily SY'!Y17/MAX('Daily SY'!Y$3:Y$14)-1,""))</f>
        <v/>
      </c>
      <c r="Y17" s="6" t="str">
        <f>IF(IFERROR('Daily SY'!Z17/MAX('Daily SY'!Z$3:Z$14)-1,"")=-100%,"",IFERROR('Daily SY'!Z17/MAX('Daily SY'!Z$3:Z$14)-1,""))</f>
        <v/>
      </c>
      <c r="Z17" s="6" t="str">
        <f>IF(IFERROR('Daily SY'!AA17/MAX('Daily SY'!AA$3:AA$14)-1,"")=-100%,"",IFERROR('Daily SY'!AA17/MAX('Daily SY'!AA$3:AA$14)-1,""))</f>
        <v/>
      </c>
      <c r="AA17" s="6" t="str">
        <f>IF(IFERROR('Daily SY'!AB17/MAX('Daily SY'!AB$3:AB$14)-1,"")=-100%,"",IFERROR('Daily SY'!AB17/MAX('Daily SY'!AB$3:AB$14)-1,""))</f>
        <v/>
      </c>
      <c r="AB17" s="6" t="str">
        <f>IF(IFERROR('Daily SY'!AC17/MAX('Daily SY'!AC$3:AC$14)-1,"")=-100%,"",IFERROR('Daily SY'!AC17/MAX('Daily SY'!AC$3:AC$14)-1,""))</f>
        <v/>
      </c>
      <c r="AC17" s="6" t="str">
        <f>IF(IFERROR('Daily SY'!AD17/MAX('Daily SY'!AD$3:AD$14)-1,"")=-100%,"",IFERROR('Daily SY'!AD17/MAX('Daily SY'!AD$3:AD$14)-1,""))</f>
        <v/>
      </c>
      <c r="AD17" s="6" t="str">
        <f>IF(IFERROR('Daily SY'!AE17/MAX('Daily SY'!AE$3:AE$14)-1,"")=-100%,"",IFERROR('Daily SY'!AE17/MAX('Daily SY'!AE$3:AE$14)-1,""))</f>
        <v/>
      </c>
      <c r="AE17" s="10" t="str">
        <f>IF(IFERROR('Daily SY'!AF17/MAX('Daily SY'!AF$3:AF$14)-1,"")=-100%,"",IFERROR('Daily SY'!AF17/MAX('Daily SY'!AF$3:AF$14)-1,""))</f>
        <v/>
      </c>
      <c r="AF17" s="10" t="str">
        <f>IF(IFERROR('Daily SY'!AG17/MAX('Daily SY'!AG$3:AG$14)-1,"")=-100%,"",IFERROR('Daily SY'!AG17/MAX('Daily SY'!AG$3:AG$14)-1,""))</f>
        <v/>
      </c>
    </row>
    <row r="18" spans="1:32" ht="15.75">
      <c r="A18" s="5" t="s">
        <v>52</v>
      </c>
      <c r="B18" s="6">
        <f>IF(IFERROR('Daily SY'!C18/MAX('Daily SY'!C$3:C$14)-1,"")=-100%,"",IFERROR('Daily SY'!C18/MAX('Daily SY'!C$3:C$14)-1,""))</f>
        <v>-0.10486891385767794</v>
      </c>
      <c r="C18" s="6" t="str">
        <f>IF(IFERROR('Daily SY'!D18/MAX('Daily SY'!D$3:D$14)-1,"")=-100%,"",IFERROR('Daily SY'!D18/MAX('Daily SY'!D$3:D$14)-1,""))</f>
        <v/>
      </c>
      <c r="D18" s="6" t="str">
        <f>IF(IFERROR('Daily SY'!E18/MAX('Daily SY'!E$3:E$14)-1,"")=-100%,"",IFERROR('Daily SY'!E18/MAX('Daily SY'!E$3:E$14)-1,""))</f>
        <v/>
      </c>
      <c r="E18" s="6" t="str">
        <f>IF(IFERROR('Daily SY'!F18/MAX('Daily SY'!F$3:F$14)-1,"")=-100%,"",IFERROR('Daily SY'!F18/MAX('Daily SY'!F$3:F$14)-1,""))</f>
        <v/>
      </c>
      <c r="F18" s="6" t="str">
        <f>IF(IFERROR('Daily SY'!G18/MAX('Daily SY'!G$3:G$14)-1,"")=-100%,"",IFERROR('Daily SY'!G18/MAX('Daily SY'!G$3:G$14)-1,""))</f>
        <v/>
      </c>
      <c r="G18" s="6" t="str">
        <f>IF(IFERROR('Daily SY'!H18/MAX('Daily SY'!H$3:H$14)-1,"")=-100%,"",IFERROR('Daily SY'!H18/MAX('Daily SY'!H$3:H$14)-1,""))</f>
        <v/>
      </c>
      <c r="H18" s="6" t="str">
        <f>IF(IFERROR('Daily SY'!I18/MAX('Daily SY'!I$3:I$14)-1,"")=-100%,"",IFERROR('Daily SY'!I18/MAX('Daily SY'!I$3:I$14)-1,""))</f>
        <v/>
      </c>
      <c r="I18" s="6" t="str">
        <f>IF(IFERROR('Daily SY'!J18/MAX('Daily SY'!J$3:J$14)-1,"")=-100%,"",IFERROR('Daily SY'!J18/MAX('Daily SY'!J$3:J$14)-1,""))</f>
        <v/>
      </c>
      <c r="J18" s="6" t="str">
        <f>IF(IFERROR('Daily SY'!K18/MAX('Daily SY'!K$3:K$14)-1,"")=-100%,"",IFERROR('Daily SY'!K18/MAX('Daily SY'!K$3:K$14)-1,""))</f>
        <v/>
      </c>
      <c r="K18" s="6" t="str">
        <f>IF(IFERROR('Daily SY'!L18/MAX('Daily SY'!L$3:L$14)-1,"")=-100%,"",IFERROR('Daily SY'!L18/MAX('Daily SY'!L$3:L$14)-1,""))</f>
        <v/>
      </c>
      <c r="L18" s="6" t="str">
        <f>IF(IFERROR('Daily SY'!M18/MAX('Daily SY'!M$3:M$14)-1,"")=-100%,"",IFERROR('Daily SY'!M18/MAX('Daily SY'!M$3:M$14)-1,""))</f>
        <v/>
      </c>
      <c r="M18" s="6" t="str">
        <f>IF(IFERROR('Daily SY'!N18/MAX('Daily SY'!N$3:N$14)-1,"")=-100%,"",IFERROR('Daily SY'!N18/MAX('Daily SY'!N$3:N$14)-1,""))</f>
        <v/>
      </c>
      <c r="N18" s="6" t="str">
        <f>IF(IFERROR('Daily SY'!O18/MAX('Daily SY'!O$3:O$14)-1,"")=-100%,"",IFERROR('Daily SY'!O18/MAX('Daily SY'!O$3:O$14)-1,""))</f>
        <v/>
      </c>
      <c r="O18" s="6" t="str">
        <f>IF(IFERROR('Daily SY'!P18/MAX('Daily SY'!P$3:P$14)-1,"")=-100%,"",IFERROR('Daily SY'!P18/MAX('Daily SY'!P$3:P$14)-1,""))</f>
        <v/>
      </c>
      <c r="P18" s="6" t="str">
        <f>IF(IFERROR('Daily SY'!Q18/MAX('Daily SY'!Q$3:Q$14)-1,"")=-100%,"",IFERROR('Daily SY'!Q18/MAX('Daily SY'!Q$3:Q$14)-1,""))</f>
        <v/>
      </c>
      <c r="Q18" s="6" t="str">
        <f>IF(IFERROR('Daily SY'!R18/MAX('Daily SY'!R$3:R$14)-1,"")=-100%,"",IFERROR('Daily SY'!R18/MAX('Daily SY'!R$3:R$14)-1,""))</f>
        <v/>
      </c>
      <c r="R18" s="6" t="str">
        <f>IF(IFERROR('Daily SY'!S18/MAX('Daily SY'!S$3:S$14)-1,"")=-100%,"",IFERROR('Daily SY'!S18/MAX('Daily SY'!S$3:S$14)-1,""))</f>
        <v/>
      </c>
      <c r="S18" s="6" t="str">
        <f>IF(IFERROR('Daily SY'!T18/MAX('Daily SY'!T$3:T$14)-1,"")=-100%,"",IFERROR('Daily SY'!T18/MAX('Daily SY'!T$3:T$14)-1,""))</f>
        <v/>
      </c>
      <c r="T18" s="6" t="str">
        <f>IF(IFERROR('Daily SY'!U18/MAX('Daily SY'!U$3:U$14)-1,"")=-100%,"",IFERROR('Daily SY'!U18/MAX('Daily SY'!U$3:U$14)-1,""))</f>
        <v/>
      </c>
      <c r="U18" s="6" t="str">
        <f>IF(IFERROR('Daily SY'!V18/MAX('Daily SY'!V$3:V$14)-1,"")=-100%,"",IFERROR('Daily SY'!V18/MAX('Daily SY'!V$3:V$14)-1,""))</f>
        <v/>
      </c>
      <c r="V18" s="6" t="str">
        <f>IF(IFERROR('Daily SY'!W18/MAX('Daily SY'!W$3:W$14)-1,"")=-100%,"",IFERROR('Daily SY'!W18/MAX('Daily SY'!W$3:W$14)-1,""))</f>
        <v/>
      </c>
      <c r="W18" s="6" t="str">
        <f>IF(IFERROR('Daily SY'!X18/MAX('Daily SY'!X$3:X$14)-1,"")=-100%,"",IFERROR('Daily SY'!X18/MAX('Daily SY'!X$3:X$14)-1,""))</f>
        <v/>
      </c>
      <c r="X18" s="6" t="str">
        <f>IF(IFERROR('Daily SY'!Y18/MAX('Daily SY'!Y$3:Y$14)-1,"")=-100%,"",IFERROR('Daily SY'!Y18/MAX('Daily SY'!Y$3:Y$14)-1,""))</f>
        <v/>
      </c>
      <c r="Y18" s="6" t="str">
        <f>IF(IFERROR('Daily SY'!Z18/MAX('Daily SY'!Z$3:Z$14)-1,"")=-100%,"",IFERROR('Daily SY'!Z18/MAX('Daily SY'!Z$3:Z$14)-1,""))</f>
        <v/>
      </c>
      <c r="Z18" s="6" t="str">
        <f>IF(IFERROR('Daily SY'!AA18/MAX('Daily SY'!AA$3:AA$14)-1,"")=-100%,"",IFERROR('Daily SY'!AA18/MAX('Daily SY'!AA$3:AA$14)-1,""))</f>
        <v/>
      </c>
      <c r="AA18" s="6" t="str">
        <f>IF(IFERROR('Daily SY'!AB18/MAX('Daily SY'!AB$3:AB$14)-1,"")=-100%,"",IFERROR('Daily SY'!AB18/MAX('Daily SY'!AB$3:AB$14)-1,""))</f>
        <v/>
      </c>
      <c r="AB18" s="6" t="str">
        <f>IF(IFERROR('Daily SY'!AC18/MAX('Daily SY'!AC$3:AC$14)-1,"")=-100%,"",IFERROR('Daily SY'!AC18/MAX('Daily SY'!AC$3:AC$14)-1,""))</f>
        <v/>
      </c>
      <c r="AC18" s="6" t="str">
        <f>IF(IFERROR('Daily SY'!AD18/MAX('Daily SY'!AD$3:AD$14)-1,"")=-100%,"",IFERROR('Daily SY'!AD18/MAX('Daily SY'!AD$3:AD$14)-1,""))</f>
        <v/>
      </c>
      <c r="AD18" s="6" t="str">
        <f>IF(IFERROR('Daily SY'!AE18/MAX('Daily SY'!AE$3:AE$14)-1,"")=-100%,"",IFERROR('Daily SY'!AE18/MAX('Daily SY'!AE$3:AE$14)-1,""))</f>
        <v/>
      </c>
      <c r="AE18" s="10" t="str">
        <f>IF(IFERROR('Daily SY'!AF18/MAX('Daily SY'!AF$3:AF$14)-1,"")=-100%,"",IFERROR('Daily SY'!AF18/MAX('Daily SY'!AF$3:AF$14)-1,""))</f>
        <v/>
      </c>
      <c r="AF18" s="10" t="str">
        <f>IF(IFERROR('Daily SY'!AG18/MAX('Daily SY'!AG$3:AG$14)-1,"")=-100%,"",IFERROR('Daily SY'!AG18/MAX('Daily SY'!AG$3:AG$14)-1,""))</f>
        <v/>
      </c>
    </row>
    <row r="19" spans="1:32" ht="15.75">
      <c r="A19" s="7" t="s">
        <v>53</v>
      </c>
      <c r="B19" s="6">
        <f>IF(IFERROR('Daily SY'!C19/MAX('Daily SY'!C$3:C$14)-1,"")=-100%,"",IFERROR('Daily SY'!C19/MAX('Daily SY'!C$3:C$14)-1,""))</f>
        <v>-0.101123595505618</v>
      </c>
      <c r="C19" s="6" t="str">
        <f>IF(IFERROR('Daily SY'!D19/MAX('Daily SY'!D$3:D$14)-1,"")=-100%,"",IFERROR('Daily SY'!D19/MAX('Daily SY'!D$3:D$14)-1,""))</f>
        <v/>
      </c>
      <c r="D19" s="6" t="str">
        <f>IF(IFERROR('Daily SY'!E19/MAX('Daily SY'!E$3:E$14)-1,"")=-100%,"",IFERROR('Daily SY'!E19/MAX('Daily SY'!E$3:E$14)-1,""))</f>
        <v/>
      </c>
      <c r="E19" s="6" t="str">
        <f>IF(IFERROR('Daily SY'!F19/MAX('Daily SY'!F$3:F$14)-1,"")=-100%,"",IFERROR('Daily SY'!F19/MAX('Daily SY'!F$3:F$14)-1,""))</f>
        <v/>
      </c>
      <c r="F19" s="6" t="str">
        <f>IF(IFERROR('Daily SY'!G19/MAX('Daily SY'!G$3:G$14)-1,"")=-100%,"",IFERROR('Daily SY'!G19/MAX('Daily SY'!G$3:G$14)-1,""))</f>
        <v/>
      </c>
      <c r="G19" s="6" t="str">
        <f>IF(IFERROR('Daily SY'!H19/MAX('Daily SY'!H$3:H$14)-1,"")=-100%,"",IFERROR('Daily SY'!H19/MAX('Daily SY'!H$3:H$14)-1,""))</f>
        <v/>
      </c>
      <c r="H19" s="6" t="str">
        <f>IF(IFERROR('Daily SY'!I19/MAX('Daily SY'!I$3:I$14)-1,"")=-100%,"",IFERROR('Daily SY'!I19/MAX('Daily SY'!I$3:I$14)-1,""))</f>
        <v/>
      </c>
      <c r="I19" s="6" t="str">
        <f>IF(IFERROR('Daily SY'!J19/MAX('Daily SY'!J$3:J$14)-1,"")=-100%,"",IFERROR('Daily SY'!J19/MAX('Daily SY'!J$3:J$14)-1,""))</f>
        <v/>
      </c>
      <c r="J19" s="6" t="str">
        <f>IF(IFERROR('Daily SY'!K19/MAX('Daily SY'!K$3:K$14)-1,"")=-100%,"",IFERROR('Daily SY'!K19/MAX('Daily SY'!K$3:K$14)-1,""))</f>
        <v/>
      </c>
      <c r="K19" s="6" t="str">
        <f>IF(IFERROR('Daily SY'!L19/MAX('Daily SY'!L$3:L$14)-1,"")=-100%,"",IFERROR('Daily SY'!L19/MAX('Daily SY'!L$3:L$14)-1,""))</f>
        <v/>
      </c>
      <c r="L19" s="6" t="str">
        <f>IF(IFERROR('Daily SY'!M19/MAX('Daily SY'!M$3:M$14)-1,"")=-100%,"",IFERROR('Daily SY'!M19/MAX('Daily SY'!M$3:M$14)-1,""))</f>
        <v/>
      </c>
      <c r="M19" s="6" t="str">
        <f>IF(IFERROR('Daily SY'!N19/MAX('Daily SY'!N$3:N$14)-1,"")=-100%,"",IFERROR('Daily SY'!N19/MAX('Daily SY'!N$3:N$14)-1,""))</f>
        <v/>
      </c>
      <c r="N19" s="6" t="str">
        <f>IF(IFERROR('Daily SY'!O19/MAX('Daily SY'!O$3:O$14)-1,"")=-100%,"",IFERROR('Daily SY'!O19/MAX('Daily SY'!O$3:O$14)-1,""))</f>
        <v/>
      </c>
      <c r="O19" s="6" t="str">
        <f>IF(IFERROR('Daily SY'!P19/MAX('Daily SY'!P$3:P$14)-1,"")=-100%,"",IFERROR('Daily SY'!P19/MAX('Daily SY'!P$3:P$14)-1,""))</f>
        <v/>
      </c>
      <c r="P19" s="6" t="str">
        <f>IF(IFERROR('Daily SY'!Q19/MAX('Daily SY'!Q$3:Q$14)-1,"")=-100%,"",IFERROR('Daily SY'!Q19/MAX('Daily SY'!Q$3:Q$14)-1,""))</f>
        <v/>
      </c>
      <c r="Q19" s="6" t="str">
        <f>IF(IFERROR('Daily SY'!R19/MAX('Daily SY'!R$3:R$14)-1,"")=-100%,"",IFERROR('Daily SY'!R19/MAX('Daily SY'!R$3:R$14)-1,""))</f>
        <v/>
      </c>
      <c r="R19" s="6" t="str">
        <f>IF(IFERROR('Daily SY'!S19/MAX('Daily SY'!S$3:S$14)-1,"")=-100%,"",IFERROR('Daily SY'!S19/MAX('Daily SY'!S$3:S$14)-1,""))</f>
        <v/>
      </c>
      <c r="S19" s="6" t="str">
        <f>IF(IFERROR('Daily SY'!T19/MAX('Daily SY'!T$3:T$14)-1,"")=-100%,"",IFERROR('Daily SY'!T19/MAX('Daily SY'!T$3:T$14)-1,""))</f>
        <v/>
      </c>
      <c r="T19" s="6" t="str">
        <f>IF(IFERROR('Daily SY'!U19/MAX('Daily SY'!U$3:U$14)-1,"")=-100%,"",IFERROR('Daily SY'!U19/MAX('Daily SY'!U$3:U$14)-1,""))</f>
        <v/>
      </c>
      <c r="U19" s="6" t="str">
        <f>IF(IFERROR('Daily SY'!V19/MAX('Daily SY'!V$3:V$14)-1,"")=-100%,"",IFERROR('Daily SY'!V19/MAX('Daily SY'!V$3:V$14)-1,""))</f>
        <v/>
      </c>
      <c r="V19" s="6" t="str">
        <f>IF(IFERROR('Daily SY'!W19/MAX('Daily SY'!W$3:W$14)-1,"")=-100%,"",IFERROR('Daily SY'!W19/MAX('Daily SY'!W$3:W$14)-1,""))</f>
        <v/>
      </c>
      <c r="W19" s="6" t="str">
        <f>IF(IFERROR('Daily SY'!X19/MAX('Daily SY'!X$3:X$14)-1,"")=-100%,"",IFERROR('Daily SY'!X19/MAX('Daily SY'!X$3:X$14)-1,""))</f>
        <v/>
      </c>
      <c r="X19" s="6" t="str">
        <f>IF(IFERROR('Daily SY'!Y19/MAX('Daily SY'!Y$3:Y$14)-1,"")=-100%,"",IFERROR('Daily SY'!Y19/MAX('Daily SY'!Y$3:Y$14)-1,""))</f>
        <v/>
      </c>
      <c r="Y19" s="6" t="str">
        <f>IF(IFERROR('Daily SY'!Z19/MAX('Daily SY'!Z$3:Z$14)-1,"")=-100%,"",IFERROR('Daily SY'!Z19/MAX('Daily SY'!Z$3:Z$14)-1,""))</f>
        <v/>
      </c>
      <c r="Z19" s="6" t="str">
        <f>IF(IFERROR('Daily SY'!AA19/MAX('Daily SY'!AA$3:AA$14)-1,"")=-100%,"",IFERROR('Daily SY'!AA19/MAX('Daily SY'!AA$3:AA$14)-1,""))</f>
        <v/>
      </c>
      <c r="AA19" s="6" t="str">
        <f>IF(IFERROR('Daily SY'!AB19/MAX('Daily SY'!AB$3:AB$14)-1,"")=-100%,"",IFERROR('Daily SY'!AB19/MAX('Daily SY'!AB$3:AB$14)-1,""))</f>
        <v/>
      </c>
      <c r="AB19" s="6" t="str">
        <f>IF(IFERROR('Daily SY'!AC19/MAX('Daily SY'!AC$3:AC$14)-1,"")=-100%,"",IFERROR('Daily SY'!AC19/MAX('Daily SY'!AC$3:AC$14)-1,""))</f>
        <v/>
      </c>
      <c r="AC19" s="6" t="str">
        <f>IF(IFERROR('Daily SY'!AD19/MAX('Daily SY'!AD$3:AD$14)-1,"")=-100%,"",IFERROR('Daily SY'!AD19/MAX('Daily SY'!AD$3:AD$14)-1,""))</f>
        <v/>
      </c>
      <c r="AD19" s="6" t="str">
        <f>IF(IFERROR('Daily SY'!AE19/MAX('Daily SY'!AE$3:AE$14)-1,"")=-100%,"",IFERROR('Daily SY'!AE19/MAX('Daily SY'!AE$3:AE$14)-1,""))</f>
        <v/>
      </c>
      <c r="AE19" s="10" t="str">
        <f>IF(IFERROR('Daily SY'!AF19/MAX('Daily SY'!AF$3:AF$14)-1,"")=-100%,"",IFERROR('Daily SY'!AF19/MAX('Daily SY'!AF$3:AF$14)-1,""))</f>
        <v/>
      </c>
      <c r="AF19" s="10" t="str">
        <f>IF(IFERROR('Daily SY'!AG19/MAX('Daily SY'!AG$3:AG$14)-1,"")=-100%,"",IFERROR('Daily SY'!AG19/MAX('Daily SY'!AG$3:AG$14)-1,""))</f>
        <v/>
      </c>
    </row>
    <row r="20" spans="1:32" ht="15.75">
      <c r="A20" s="7" t="s">
        <v>54</v>
      </c>
      <c r="B20" s="6">
        <f>IF(IFERROR('Daily SY'!C20/MAX('Daily SY'!C$3:C$14)-1,"")=-100%,"",IFERROR('Daily SY'!C20/MAX('Daily SY'!C$3:C$14)-1,""))</f>
        <v>-0.1348314606741573</v>
      </c>
      <c r="C20" s="6" t="str">
        <f>IF(IFERROR('Daily SY'!D20/MAX('Daily SY'!D$3:D$14)-1,"")=-100%,"",IFERROR('Daily SY'!D20/MAX('Daily SY'!D$3:D$14)-1,""))</f>
        <v/>
      </c>
      <c r="D20" s="6" t="str">
        <f>IF(IFERROR('Daily SY'!E20/MAX('Daily SY'!E$3:E$14)-1,"")=-100%,"",IFERROR('Daily SY'!E20/MAX('Daily SY'!E$3:E$14)-1,""))</f>
        <v/>
      </c>
      <c r="E20" s="6" t="str">
        <f>IF(IFERROR('Daily SY'!F20/MAX('Daily SY'!F$3:F$14)-1,"")=-100%,"",IFERROR('Daily SY'!F20/MAX('Daily SY'!F$3:F$14)-1,""))</f>
        <v/>
      </c>
      <c r="F20" s="6" t="str">
        <f>IF(IFERROR('Daily SY'!G20/MAX('Daily SY'!G$3:G$14)-1,"")=-100%,"",IFERROR('Daily SY'!G20/MAX('Daily SY'!G$3:G$14)-1,""))</f>
        <v/>
      </c>
      <c r="G20" s="6" t="str">
        <f>IF(IFERROR('Daily SY'!H20/MAX('Daily SY'!H$3:H$14)-1,"")=-100%,"",IFERROR('Daily SY'!H20/MAX('Daily SY'!H$3:H$14)-1,""))</f>
        <v/>
      </c>
      <c r="H20" s="6" t="str">
        <f>IF(IFERROR('Daily SY'!I20/MAX('Daily SY'!I$3:I$14)-1,"")=-100%,"",IFERROR('Daily SY'!I20/MAX('Daily SY'!I$3:I$14)-1,""))</f>
        <v/>
      </c>
      <c r="I20" s="6" t="str">
        <f>IF(IFERROR('Daily SY'!J20/MAX('Daily SY'!J$3:J$14)-1,"")=-100%,"",IFERROR('Daily SY'!J20/MAX('Daily SY'!J$3:J$14)-1,""))</f>
        <v/>
      </c>
      <c r="J20" s="6" t="str">
        <f>IF(IFERROR('Daily SY'!K20/MAX('Daily SY'!K$3:K$14)-1,"")=-100%,"",IFERROR('Daily SY'!K20/MAX('Daily SY'!K$3:K$14)-1,""))</f>
        <v/>
      </c>
      <c r="K20" s="6" t="str">
        <f>IF(IFERROR('Daily SY'!L20/MAX('Daily SY'!L$3:L$14)-1,"")=-100%,"",IFERROR('Daily SY'!L20/MAX('Daily SY'!L$3:L$14)-1,""))</f>
        <v/>
      </c>
      <c r="L20" s="6" t="str">
        <f>IF(IFERROR('Daily SY'!M20/MAX('Daily SY'!M$3:M$14)-1,"")=-100%,"",IFERROR('Daily SY'!M20/MAX('Daily SY'!M$3:M$14)-1,""))</f>
        <v/>
      </c>
      <c r="M20" s="6" t="str">
        <f>IF(IFERROR('Daily SY'!N20/MAX('Daily SY'!N$3:N$14)-1,"")=-100%,"",IFERROR('Daily SY'!N20/MAX('Daily SY'!N$3:N$14)-1,""))</f>
        <v/>
      </c>
      <c r="N20" s="6" t="str">
        <f>IF(IFERROR('Daily SY'!O20/MAX('Daily SY'!O$3:O$14)-1,"")=-100%,"",IFERROR('Daily SY'!O20/MAX('Daily SY'!O$3:O$14)-1,""))</f>
        <v/>
      </c>
      <c r="O20" s="6" t="str">
        <f>IF(IFERROR('Daily SY'!P20/MAX('Daily SY'!P$3:P$14)-1,"")=-100%,"",IFERROR('Daily SY'!P20/MAX('Daily SY'!P$3:P$14)-1,""))</f>
        <v/>
      </c>
      <c r="P20" s="6" t="str">
        <f>IF(IFERROR('Daily SY'!Q20/MAX('Daily SY'!Q$3:Q$14)-1,"")=-100%,"",IFERROR('Daily SY'!Q20/MAX('Daily SY'!Q$3:Q$14)-1,""))</f>
        <v/>
      </c>
      <c r="Q20" s="6" t="str">
        <f>IF(IFERROR('Daily SY'!R20/MAX('Daily SY'!R$3:R$14)-1,"")=-100%,"",IFERROR('Daily SY'!R20/MAX('Daily SY'!R$3:R$14)-1,""))</f>
        <v/>
      </c>
      <c r="R20" s="6" t="str">
        <f>IF(IFERROR('Daily SY'!S20/MAX('Daily SY'!S$3:S$14)-1,"")=-100%,"",IFERROR('Daily SY'!S20/MAX('Daily SY'!S$3:S$14)-1,""))</f>
        <v/>
      </c>
      <c r="S20" s="6" t="str">
        <f>IF(IFERROR('Daily SY'!T20/MAX('Daily SY'!T$3:T$14)-1,"")=-100%,"",IFERROR('Daily SY'!T20/MAX('Daily SY'!T$3:T$14)-1,""))</f>
        <v/>
      </c>
      <c r="T20" s="6" t="str">
        <f>IF(IFERROR('Daily SY'!U20/MAX('Daily SY'!U$3:U$14)-1,"")=-100%,"",IFERROR('Daily SY'!U20/MAX('Daily SY'!U$3:U$14)-1,""))</f>
        <v/>
      </c>
      <c r="U20" s="6" t="str">
        <f>IF(IFERROR('Daily SY'!V20/MAX('Daily SY'!V$3:V$14)-1,"")=-100%,"",IFERROR('Daily SY'!V20/MAX('Daily SY'!V$3:V$14)-1,""))</f>
        <v/>
      </c>
      <c r="V20" s="6" t="str">
        <f>IF(IFERROR('Daily SY'!W20/MAX('Daily SY'!W$3:W$14)-1,"")=-100%,"",IFERROR('Daily SY'!W20/MAX('Daily SY'!W$3:W$14)-1,""))</f>
        <v/>
      </c>
      <c r="W20" s="6" t="str">
        <f>IF(IFERROR('Daily SY'!X20/MAX('Daily SY'!X$3:X$14)-1,"")=-100%,"",IFERROR('Daily SY'!X20/MAX('Daily SY'!X$3:X$14)-1,""))</f>
        <v/>
      </c>
      <c r="X20" s="6" t="str">
        <f>IF(IFERROR('Daily SY'!Y20/MAX('Daily SY'!Y$3:Y$14)-1,"")=-100%,"",IFERROR('Daily SY'!Y20/MAX('Daily SY'!Y$3:Y$14)-1,""))</f>
        <v/>
      </c>
      <c r="Y20" s="6" t="str">
        <f>IF(IFERROR('Daily SY'!Z20/MAX('Daily SY'!Z$3:Z$14)-1,"")=-100%,"",IFERROR('Daily SY'!Z20/MAX('Daily SY'!Z$3:Z$14)-1,""))</f>
        <v/>
      </c>
      <c r="Z20" s="6" t="str">
        <f>IF(IFERROR('Daily SY'!AA20/MAX('Daily SY'!AA$3:AA$14)-1,"")=-100%,"",IFERROR('Daily SY'!AA20/MAX('Daily SY'!AA$3:AA$14)-1,""))</f>
        <v/>
      </c>
      <c r="AA20" s="6" t="str">
        <f>IF(IFERROR('Daily SY'!AB20/MAX('Daily SY'!AB$3:AB$14)-1,"")=-100%,"",IFERROR('Daily SY'!AB20/MAX('Daily SY'!AB$3:AB$14)-1,""))</f>
        <v/>
      </c>
      <c r="AB20" s="6" t="str">
        <f>IF(IFERROR('Daily SY'!AC20/MAX('Daily SY'!AC$3:AC$14)-1,"")=-100%,"",IFERROR('Daily SY'!AC20/MAX('Daily SY'!AC$3:AC$14)-1,""))</f>
        <v/>
      </c>
      <c r="AC20" s="6" t="str">
        <f>IF(IFERROR('Daily SY'!AD20/MAX('Daily SY'!AD$3:AD$14)-1,"")=-100%,"",IFERROR('Daily SY'!AD20/MAX('Daily SY'!AD$3:AD$14)-1,""))</f>
        <v/>
      </c>
      <c r="AD20" s="6" t="str">
        <f>IF(IFERROR('Daily SY'!AE20/MAX('Daily SY'!AE$3:AE$14)-1,"")=-100%,"",IFERROR('Daily SY'!AE20/MAX('Daily SY'!AE$3:AE$14)-1,""))</f>
        <v/>
      </c>
      <c r="AE20" s="10" t="str">
        <f>IF(IFERROR('Daily SY'!AF20/MAX('Daily SY'!AF$3:AF$14)-1,"")=-100%,"",IFERROR('Daily SY'!AF20/MAX('Daily SY'!AF$3:AF$14)-1,""))</f>
        <v/>
      </c>
      <c r="AF20" s="10" t="str">
        <f>IF(IFERROR('Daily SY'!AG20/MAX('Daily SY'!AG$3:AG$14)-1,"")=-100%,"",IFERROR('Daily SY'!AG20/MAX('Daily SY'!AG$3:AG$14)-1,""))</f>
        <v/>
      </c>
    </row>
    <row r="21" spans="1:32" ht="15.75">
      <c r="A21" s="7" t="s">
        <v>55</v>
      </c>
      <c r="B21" s="6">
        <f>IF(IFERROR('Daily SY'!C21/MAX('Daily SY'!C$3:C$14)-1,"")=-100%,"",IFERROR('Daily SY'!C21/MAX('Daily SY'!C$3:C$14)-1,""))</f>
        <v>-7.4906367041198463E-2</v>
      </c>
      <c r="C21" s="6" t="str">
        <f>IF(IFERROR('Daily SY'!D21/MAX('Daily SY'!D$3:D$14)-1,"")=-100%,"",IFERROR('Daily SY'!D21/MAX('Daily SY'!D$3:D$14)-1,""))</f>
        <v/>
      </c>
      <c r="D21" s="6" t="str">
        <f>IF(IFERROR('Daily SY'!E21/MAX('Daily SY'!E$3:E$14)-1,"")=-100%,"",IFERROR('Daily SY'!E21/MAX('Daily SY'!E$3:E$14)-1,""))</f>
        <v/>
      </c>
      <c r="E21" s="6" t="str">
        <f>IF(IFERROR('Daily SY'!F21/MAX('Daily SY'!F$3:F$14)-1,"")=-100%,"",IFERROR('Daily SY'!F21/MAX('Daily SY'!F$3:F$14)-1,""))</f>
        <v/>
      </c>
      <c r="F21" s="6" t="str">
        <f>IF(IFERROR('Daily SY'!G21/MAX('Daily SY'!G$3:G$14)-1,"")=-100%,"",IFERROR('Daily SY'!G21/MAX('Daily SY'!G$3:G$14)-1,""))</f>
        <v/>
      </c>
      <c r="G21" s="6" t="str">
        <f>IF(IFERROR('Daily SY'!H21/MAX('Daily SY'!H$3:H$14)-1,"")=-100%,"",IFERROR('Daily SY'!H21/MAX('Daily SY'!H$3:H$14)-1,""))</f>
        <v/>
      </c>
      <c r="H21" s="6" t="str">
        <f>IF(IFERROR('Daily SY'!I21/MAX('Daily SY'!I$3:I$14)-1,"")=-100%,"",IFERROR('Daily SY'!I21/MAX('Daily SY'!I$3:I$14)-1,""))</f>
        <v/>
      </c>
      <c r="I21" s="6" t="str">
        <f>IF(IFERROR('Daily SY'!J21/MAX('Daily SY'!J$3:J$14)-1,"")=-100%,"",IFERROR('Daily SY'!J21/MAX('Daily SY'!J$3:J$14)-1,""))</f>
        <v/>
      </c>
      <c r="J21" s="6" t="str">
        <f>IF(IFERROR('Daily SY'!K21/MAX('Daily SY'!K$3:K$14)-1,"")=-100%,"",IFERROR('Daily SY'!K21/MAX('Daily SY'!K$3:K$14)-1,""))</f>
        <v/>
      </c>
      <c r="K21" s="6" t="str">
        <f>IF(IFERROR('Daily SY'!L21/MAX('Daily SY'!L$3:L$14)-1,"")=-100%,"",IFERROR('Daily SY'!L21/MAX('Daily SY'!L$3:L$14)-1,""))</f>
        <v/>
      </c>
      <c r="L21" s="6" t="str">
        <f>IF(IFERROR('Daily SY'!M21/MAX('Daily SY'!M$3:M$14)-1,"")=-100%,"",IFERROR('Daily SY'!M21/MAX('Daily SY'!M$3:M$14)-1,""))</f>
        <v/>
      </c>
      <c r="M21" s="6" t="str">
        <f>IF(IFERROR('Daily SY'!N21/MAX('Daily SY'!N$3:N$14)-1,"")=-100%,"",IFERROR('Daily SY'!N21/MAX('Daily SY'!N$3:N$14)-1,""))</f>
        <v/>
      </c>
      <c r="N21" s="6" t="str">
        <f>IF(IFERROR('Daily SY'!O21/MAX('Daily SY'!O$3:O$14)-1,"")=-100%,"",IFERROR('Daily SY'!O21/MAX('Daily SY'!O$3:O$14)-1,""))</f>
        <v/>
      </c>
      <c r="O21" s="6" t="str">
        <f>IF(IFERROR('Daily SY'!P21/MAX('Daily SY'!P$3:P$14)-1,"")=-100%,"",IFERROR('Daily SY'!P21/MAX('Daily SY'!P$3:P$14)-1,""))</f>
        <v/>
      </c>
      <c r="P21" s="6" t="str">
        <f>IF(IFERROR('Daily SY'!Q21/MAX('Daily SY'!Q$3:Q$14)-1,"")=-100%,"",IFERROR('Daily SY'!Q21/MAX('Daily SY'!Q$3:Q$14)-1,""))</f>
        <v/>
      </c>
      <c r="Q21" s="6" t="str">
        <f>IF(IFERROR('Daily SY'!R21/MAX('Daily SY'!R$3:R$14)-1,"")=-100%,"",IFERROR('Daily SY'!R21/MAX('Daily SY'!R$3:R$14)-1,""))</f>
        <v/>
      </c>
      <c r="R21" s="6" t="str">
        <f>IF(IFERROR('Daily SY'!S21/MAX('Daily SY'!S$3:S$14)-1,"")=-100%,"",IFERROR('Daily SY'!S21/MAX('Daily SY'!S$3:S$14)-1,""))</f>
        <v/>
      </c>
      <c r="S21" s="6" t="str">
        <f>IF(IFERROR('Daily SY'!T21/MAX('Daily SY'!T$3:T$14)-1,"")=-100%,"",IFERROR('Daily SY'!T21/MAX('Daily SY'!T$3:T$14)-1,""))</f>
        <v/>
      </c>
      <c r="T21" s="6" t="str">
        <f>IF(IFERROR('Daily SY'!U21/MAX('Daily SY'!U$3:U$14)-1,"")=-100%,"",IFERROR('Daily SY'!U21/MAX('Daily SY'!U$3:U$14)-1,""))</f>
        <v/>
      </c>
      <c r="U21" s="6" t="str">
        <f>IF(IFERROR('Daily SY'!V21/MAX('Daily SY'!V$3:V$14)-1,"")=-100%,"",IFERROR('Daily SY'!V21/MAX('Daily SY'!V$3:V$14)-1,""))</f>
        <v/>
      </c>
      <c r="V21" s="6" t="str">
        <f>IF(IFERROR('Daily SY'!W21/MAX('Daily SY'!W$3:W$14)-1,"")=-100%,"",IFERROR('Daily SY'!W21/MAX('Daily SY'!W$3:W$14)-1,""))</f>
        <v/>
      </c>
      <c r="W21" s="6" t="str">
        <f>IF(IFERROR('Daily SY'!X21/MAX('Daily SY'!X$3:X$14)-1,"")=-100%,"",IFERROR('Daily SY'!X21/MAX('Daily SY'!X$3:X$14)-1,""))</f>
        <v/>
      </c>
      <c r="X21" s="6" t="str">
        <f>IF(IFERROR('Daily SY'!Y21/MAX('Daily SY'!Y$3:Y$14)-1,"")=-100%,"",IFERROR('Daily SY'!Y21/MAX('Daily SY'!Y$3:Y$14)-1,""))</f>
        <v/>
      </c>
      <c r="Y21" s="6" t="str">
        <f>IF(IFERROR('Daily SY'!Z21/MAX('Daily SY'!Z$3:Z$14)-1,"")=-100%,"",IFERROR('Daily SY'!Z21/MAX('Daily SY'!Z$3:Z$14)-1,""))</f>
        <v/>
      </c>
      <c r="Z21" s="6" t="str">
        <f>IF(IFERROR('Daily SY'!AA21/MAX('Daily SY'!AA$3:AA$14)-1,"")=-100%,"",IFERROR('Daily SY'!AA21/MAX('Daily SY'!AA$3:AA$14)-1,""))</f>
        <v/>
      </c>
      <c r="AA21" s="6" t="str">
        <f>IF(IFERROR('Daily SY'!AB21/MAX('Daily SY'!AB$3:AB$14)-1,"")=-100%,"",IFERROR('Daily SY'!AB21/MAX('Daily SY'!AB$3:AB$14)-1,""))</f>
        <v/>
      </c>
      <c r="AB21" s="6" t="str">
        <f>IF(IFERROR('Daily SY'!AC21/MAX('Daily SY'!AC$3:AC$14)-1,"")=-100%,"",IFERROR('Daily SY'!AC21/MAX('Daily SY'!AC$3:AC$14)-1,""))</f>
        <v/>
      </c>
      <c r="AC21" s="6" t="str">
        <f>IF(IFERROR('Daily SY'!AD21/MAX('Daily SY'!AD$3:AD$14)-1,"")=-100%,"",IFERROR('Daily SY'!AD21/MAX('Daily SY'!AD$3:AD$14)-1,""))</f>
        <v/>
      </c>
      <c r="AD21" s="6" t="str">
        <f>IF(IFERROR('Daily SY'!AE21/MAX('Daily SY'!AE$3:AE$14)-1,"")=-100%,"",IFERROR('Daily SY'!AE21/MAX('Daily SY'!AE$3:AE$14)-1,""))</f>
        <v/>
      </c>
      <c r="AE21" s="10" t="str">
        <f>IF(IFERROR('Daily SY'!AF21/MAX('Daily SY'!AF$3:AF$14)-1,"")=-100%,"",IFERROR('Daily SY'!AF21/MAX('Daily SY'!AF$3:AF$14)-1,""))</f>
        <v/>
      </c>
      <c r="AF21" s="10" t="str">
        <f>IF(IFERROR('Daily SY'!AG21/MAX('Daily SY'!AG$3:AG$14)-1,"")=-100%,"",IFERROR('Daily SY'!AG21/MAX('Daily SY'!AG$3:AG$14)-1,""))</f>
        <v/>
      </c>
    </row>
    <row r="22" spans="1:32" ht="15.75">
      <c r="A22" s="7" t="s">
        <v>56</v>
      </c>
      <c r="B22" s="6">
        <f>IF(IFERROR('Daily SY'!C22/MAX('Daily SY'!C$3:C$14)-1,"")=-100%,"",IFERROR('Daily SY'!C22/MAX('Daily SY'!C$3:C$14)-1,""))</f>
        <v>-0.101123595505618</v>
      </c>
      <c r="C22" s="6" t="str">
        <f>IF(IFERROR('Daily SY'!D22/MAX('Daily SY'!D$3:D$14)-1,"")=-100%,"",IFERROR('Daily SY'!D22/MAX('Daily SY'!D$3:D$14)-1,""))</f>
        <v/>
      </c>
      <c r="D22" s="6" t="str">
        <f>IF(IFERROR('Daily SY'!E22/MAX('Daily SY'!E$3:E$14)-1,"")=-100%,"",IFERROR('Daily SY'!E22/MAX('Daily SY'!E$3:E$14)-1,""))</f>
        <v/>
      </c>
      <c r="E22" s="6" t="str">
        <f>IF(IFERROR('Daily SY'!F22/MAX('Daily SY'!F$3:F$14)-1,"")=-100%,"",IFERROR('Daily SY'!F22/MAX('Daily SY'!F$3:F$14)-1,""))</f>
        <v/>
      </c>
      <c r="F22" s="6" t="str">
        <f>IF(IFERROR('Daily SY'!G22/MAX('Daily SY'!G$3:G$14)-1,"")=-100%,"",IFERROR('Daily SY'!G22/MAX('Daily SY'!G$3:G$14)-1,""))</f>
        <v/>
      </c>
      <c r="G22" s="6" t="str">
        <f>IF(IFERROR('Daily SY'!H22/MAX('Daily SY'!H$3:H$14)-1,"")=-100%,"",IFERROR('Daily SY'!H22/MAX('Daily SY'!H$3:H$14)-1,""))</f>
        <v/>
      </c>
      <c r="H22" s="6" t="str">
        <f>IF(IFERROR('Daily SY'!I22/MAX('Daily SY'!I$3:I$14)-1,"")=-100%,"",IFERROR('Daily SY'!I22/MAX('Daily SY'!I$3:I$14)-1,""))</f>
        <v/>
      </c>
      <c r="I22" s="6" t="str">
        <f>IF(IFERROR('Daily SY'!J22/MAX('Daily SY'!J$3:J$14)-1,"")=-100%,"",IFERROR('Daily SY'!J22/MAX('Daily SY'!J$3:J$14)-1,""))</f>
        <v/>
      </c>
      <c r="J22" s="6" t="str">
        <f>IF(IFERROR('Daily SY'!K22/MAX('Daily SY'!K$3:K$14)-1,"")=-100%,"",IFERROR('Daily SY'!K22/MAX('Daily SY'!K$3:K$14)-1,""))</f>
        <v/>
      </c>
      <c r="K22" s="6" t="str">
        <f>IF(IFERROR('Daily SY'!L22/MAX('Daily SY'!L$3:L$14)-1,"")=-100%,"",IFERROR('Daily SY'!L22/MAX('Daily SY'!L$3:L$14)-1,""))</f>
        <v/>
      </c>
      <c r="L22" s="6" t="str">
        <f>IF(IFERROR('Daily SY'!M22/MAX('Daily SY'!M$3:M$14)-1,"")=-100%,"",IFERROR('Daily SY'!M22/MAX('Daily SY'!M$3:M$14)-1,""))</f>
        <v/>
      </c>
      <c r="M22" s="6" t="str">
        <f>IF(IFERROR('Daily SY'!N22/MAX('Daily SY'!N$3:N$14)-1,"")=-100%,"",IFERROR('Daily SY'!N22/MAX('Daily SY'!N$3:N$14)-1,""))</f>
        <v/>
      </c>
      <c r="N22" s="6" t="str">
        <f>IF(IFERROR('Daily SY'!O22/MAX('Daily SY'!O$3:O$14)-1,"")=-100%,"",IFERROR('Daily SY'!O22/MAX('Daily SY'!O$3:O$14)-1,""))</f>
        <v/>
      </c>
      <c r="O22" s="6" t="str">
        <f>IF(IFERROR('Daily SY'!P22/MAX('Daily SY'!P$3:P$14)-1,"")=-100%,"",IFERROR('Daily SY'!P22/MAX('Daily SY'!P$3:P$14)-1,""))</f>
        <v/>
      </c>
      <c r="P22" s="6" t="str">
        <f>IF(IFERROR('Daily SY'!Q22/MAX('Daily SY'!Q$3:Q$14)-1,"")=-100%,"",IFERROR('Daily SY'!Q22/MAX('Daily SY'!Q$3:Q$14)-1,""))</f>
        <v/>
      </c>
      <c r="Q22" s="6" t="str">
        <f>IF(IFERROR('Daily SY'!R22/MAX('Daily SY'!R$3:R$14)-1,"")=-100%,"",IFERROR('Daily SY'!R22/MAX('Daily SY'!R$3:R$14)-1,""))</f>
        <v/>
      </c>
      <c r="R22" s="6" t="str">
        <f>IF(IFERROR('Daily SY'!S22/MAX('Daily SY'!S$3:S$14)-1,"")=-100%,"",IFERROR('Daily SY'!S22/MAX('Daily SY'!S$3:S$14)-1,""))</f>
        <v/>
      </c>
      <c r="S22" s="6" t="str">
        <f>IF(IFERROR('Daily SY'!T22/MAX('Daily SY'!T$3:T$14)-1,"")=-100%,"",IFERROR('Daily SY'!T22/MAX('Daily SY'!T$3:T$14)-1,""))</f>
        <v/>
      </c>
      <c r="T22" s="6" t="str">
        <f>IF(IFERROR('Daily SY'!U22/MAX('Daily SY'!U$3:U$14)-1,"")=-100%,"",IFERROR('Daily SY'!U22/MAX('Daily SY'!U$3:U$14)-1,""))</f>
        <v/>
      </c>
      <c r="U22" s="6" t="str">
        <f>IF(IFERROR('Daily SY'!V22/MAX('Daily SY'!V$3:V$14)-1,"")=-100%,"",IFERROR('Daily SY'!V22/MAX('Daily SY'!V$3:V$14)-1,""))</f>
        <v/>
      </c>
      <c r="V22" s="6" t="str">
        <f>IF(IFERROR('Daily SY'!W22/MAX('Daily SY'!W$3:W$14)-1,"")=-100%,"",IFERROR('Daily SY'!W22/MAX('Daily SY'!W$3:W$14)-1,""))</f>
        <v/>
      </c>
      <c r="W22" s="6" t="str">
        <f>IF(IFERROR('Daily SY'!X22/MAX('Daily SY'!X$3:X$14)-1,"")=-100%,"",IFERROR('Daily SY'!X22/MAX('Daily SY'!X$3:X$14)-1,""))</f>
        <v/>
      </c>
      <c r="X22" s="6" t="str">
        <f>IF(IFERROR('Daily SY'!Y22/MAX('Daily SY'!Y$3:Y$14)-1,"")=-100%,"",IFERROR('Daily SY'!Y22/MAX('Daily SY'!Y$3:Y$14)-1,""))</f>
        <v/>
      </c>
      <c r="Y22" s="6" t="str">
        <f>IF(IFERROR('Daily SY'!Z22/MAX('Daily SY'!Z$3:Z$14)-1,"")=-100%,"",IFERROR('Daily SY'!Z22/MAX('Daily SY'!Z$3:Z$14)-1,""))</f>
        <v/>
      </c>
      <c r="Z22" s="6" t="str">
        <f>IF(IFERROR('Daily SY'!AA22/MAX('Daily SY'!AA$3:AA$14)-1,"")=-100%,"",IFERROR('Daily SY'!AA22/MAX('Daily SY'!AA$3:AA$14)-1,""))</f>
        <v/>
      </c>
      <c r="AA22" s="6" t="str">
        <f>IF(IFERROR('Daily SY'!AB22/MAX('Daily SY'!AB$3:AB$14)-1,"")=-100%,"",IFERROR('Daily SY'!AB22/MAX('Daily SY'!AB$3:AB$14)-1,""))</f>
        <v/>
      </c>
      <c r="AB22" s="6" t="str">
        <f>IF(IFERROR('Daily SY'!AC22/MAX('Daily SY'!AC$3:AC$14)-1,"")=-100%,"",IFERROR('Daily SY'!AC22/MAX('Daily SY'!AC$3:AC$14)-1,""))</f>
        <v/>
      </c>
      <c r="AC22" s="6" t="str">
        <f>IF(IFERROR('Daily SY'!AD22/MAX('Daily SY'!AD$3:AD$14)-1,"")=-100%,"",IFERROR('Daily SY'!AD22/MAX('Daily SY'!AD$3:AD$14)-1,""))</f>
        <v/>
      </c>
      <c r="AD22" s="6" t="str">
        <f>IF(IFERROR('Daily SY'!AE22/MAX('Daily SY'!AE$3:AE$14)-1,"")=-100%,"",IFERROR('Daily SY'!AE22/MAX('Daily SY'!AE$3:AE$14)-1,""))</f>
        <v/>
      </c>
      <c r="AE22" s="10" t="str">
        <f>IF(IFERROR('Daily SY'!AF22/MAX('Daily SY'!AF$3:AF$14)-1,"")=-100%,"",IFERROR('Daily SY'!AF22/MAX('Daily SY'!AF$3:AF$14)-1,""))</f>
        <v/>
      </c>
      <c r="AF22" s="10" t="str">
        <f>IF(IFERROR('Daily SY'!AG22/MAX('Daily SY'!AG$3:AG$14)-1,"")=-100%,"",IFERROR('Daily SY'!AG22/MAX('Daily SY'!AG$3:AG$14)-1,""))</f>
        <v/>
      </c>
    </row>
    <row r="23" spans="1:32" ht="15.75">
      <c r="A23" s="7" t="s">
        <v>57</v>
      </c>
      <c r="B23" s="6">
        <f>IF(IFERROR('Daily SY'!C23/MAX('Daily SY'!C$3:C$14)-1,"")=-100%,"",IFERROR('Daily SY'!C23/MAX('Daily SY'!C$3:C$14)-1,""))</f>
        <v>-7.3033707865168496E-2</v>
      </c>
      <c r="C23" s="6" t="str">
        <f>IF(IFERROR('Daily SY'!D23/MAX('Daily SY'!D$3:D$14)-1,"")=-100%,"",IFERROR('Daily SY'!D23/MAX('Daily SY'!D$3:D$14)-1,""))</f>
        <v/>
      </c>
      <c r="D23" s="6" t="str">
        <f>IF(IFERROR('Daily SY'!E23/MAX('Daily SY'!E$3:E$14)-1,"")=-100%,"",IFERROR('Daily SY'!E23/MAX('Daily SY'!E$3:E$14)-1,""))</f>
        <v/>
      </c>
      <c r="E23" s="6" t="str">
        <f>IF(IFERROR('Daily SY'!F23/MAX('Daily SY'!F$3:F$14)-1,"")=-100%,"",IFERROR('Daily SY'!F23/MAX('Daily SY'!F$3:F$14)-1,""))</f>
        <v/>
      </c>
      <c r="F23" s="6" t="str">
        <f>IF(IFERROR('Daily SY'!G23/MAX('Daily SY'!G$3:G$14)-1,"")=-100%,"",IFERROR('Daily SY'!G23/MAX('Daily SY'!G$3:G$14)-1,""))</f>
        <v/>
      </c>
      <c r="G23" s="6" t="str">
        <f>IF(IFERROR('Daily SY'!H23/MAX('Daily SY'!H$3:H$14)-1,"")=-100%,"",IFERROR('Daily SY'!H23/MAX('Daily SY'!H$3:H$14)-1,""))</f>
        <v/>
      </c>
      <c r="H23" s="6" t="str">
        <f>IF(IFERROR('Daily SY'!I23/MAX('Daily SY'!I$3:I$14)-1,"")=-100%,"",IFERROR('Daily SY'!I23/MAX('Daily SY'!I$3:I$14)-1,""))</f>
        <v/>
      </c>
      <c r="I23" s="6" t="str">
        <f>IF(IFERROR('Daily SY'!J23/MAX('Daily SY'!J$3:J$14)-1,"")=-100%,"",IFERROR('Daily SY'!J23/MAX('Daily SY'!J$3:J$14)-1,""))</f>
        <v/>
      </c>
      <c r="J23" s="6" t="str">
        <f>IF(IFERROR('Daily SY'!K23/MAX('Daily SY'!K$3:K$14)-1,"")=-100%,"",IFERROR('Daily SY'!K23/MAX('Daily SY'!K$3:K$14)-1,""))</f>
        <v/>
      </c>
      <c r="K23" s="6" t="str">
        <f>IF(IFERROR('Daily SY'!L23/MAX('Daily SY'!L$3:L$14)-1,"")=-100%,"",IFERROR('Daily SY'!L23/MAX('Daily SY'!L$3:L$14)-1,""))</f>
        <v/>
      </c>
      <c r="L23" s="6" t="str">
        <f>IF(IFERROR('Daily SY'!M23/MAX('Daily SY'!M$3:M$14)-1,"")=-100%,"",IFERROR('Daily SY'!M23/MAX('Daily SY'!M$3:M$14)-1,""))</f>
        <v/>
      </c>
      <c r="M23" s="6" t="str">
        <f>IF(IFERROR('Daily SY'!N23/MAX('Daily SY'!N$3:N$14)-1,"")=-100%,"",IFERROR('Daily SY'!N23/MAX('Daily SY'!N$3:N$14)-1,""))</f>
        <v/>
      </c>
      <c r="N23" s="6" t="str">
        <f>IF(IFERROR('Daily SY'!O23/MAX('Daily SY'!O$3:O$14)-1,"")=-100%,"",IFERROR('Daily SY'!O23/MAX('Daily SY'!O$3:O$14)-1,""))</f>
        <v/>
      </c>
      <c r="O23" s="6" t="str">
        <f>IF(IFERROR('Daily SY'!P23/MAX('Daily SY'!P$3:P$14)-1,"")=-100%,"",IFERROR('Daily SY'!P23/MAX('Daily SY'!P$3:P$14)-1,""))</f>
        <v/>
      </c>
      <c r="P23" s="6" t="str">
        <f>IF(IFERROR('Daily SY'!Q23/MAX('Daily SY'!Q$3:Q$14)-1,"")=-100%,"",IFERROR('Daily SY'!Q23/MAX('Daily SY'!Q$3:Q$14)-1,""))</f>
        <v/>
      </c>
      <c r="Q23" s="6" t="str">
        <f>IF(IFERROR('Daily SY'!R23/MAX('Daily SY'!R$3:R$14)-1,"")=-100%,"",IFERROR('Daily SY'!R23/MAX('Daily SY'!R$3:R$14)-1,""))</f>
        <v/>
      </c>
      <c r="R23" s="6" t="str">
        <f>IF(IFERROR('Daily SY'!S23/MAX('Daily SY'!S$3:S$14)-1,"")=-100%,"",IFERROR('Daily SY'!S23/MAX('Daily SY'!S$3:S$14)-1,""))</f>
        <v/>
      </c>
      <c r="S23" s="6" t="str">
        <f>IF(IFERROR('Daily SY'!T23/MAX('Daily SY'!T$3:T$14)-1,"")=-100%,"",IFERROR('Daily SY'!T23/MAX('Daily SY'!T$3:T$14)-1,""))</f>
        <v/>
      </c>
      <c r="T23" s="6" t="str">
        <f>IF(IFERROR('Daily SY'!U23/MAX('Daily SY'!U$3:U$14)-1,"")=-100%,"",IFERROR('Daily SY'!U23/MAX('Daily SY'!U$3:U$14)-1,""))</f>
        <v/>
      </c>
      <c r="U23" s="6" t="str">
        <f>IF(IFERROR('Daily SY'!V23/MAX('Daily SY'!V$3:V$14)-1,"")=-100%,"",IFERROR('Daily SY'!V23/MAX('Daily SY'!V$3:V$14)-1,""))</f>
        <v/>
      </c>
      <c r="V23" s="6" t="str">
        <f>IF(IFERROR('Daily SY'!W23/MAX('Daily SY'!W$3:W$14)-1,"")=-100%,"",IFERROR('Daily SY'!W23/MAX('Daily SY'!W$3:W$14)-1,""))</f>
        <v/>
      </c>
      <c r="W23" s="6" t="str">
        <f>IF(IFERROR('Daily SY'!X23/MAX('Daily SY'!X$3:X$14)-1,"")=-100%,"",IFERROR('Daily SY'!X23/MAX('Daily SY'!X$3:X$14)-1,""))</f>
        <v/>
      </c>
      <c r="X23" s="6" t="str">
        <f>IF(IFERROR('Daily SY'!Y23/MAX('Daily SY'!Y$3:Y$14)-1,"")=-100%,"",IFERROR('Daily SY'!Y23/MAX('Daily SY'!Y$3:Y$14)-1,""))</f>
        <v/>
      </c>
      <c r="Y23" s="6" t="str">
        <f>IF(IFERROR('Daily SY'!Z23/MAX('Daily SY'!Z$3:Z$14)-1,"")=-100%,"",IFERROR('Daily SY'!Z23/MAX('Daily SY'!Z$3:Z$14)-1,""))</f>
        <v/>
      </c>
      <c r="Z23" s="6" t="str">
        <f>IF(IFERROR('Daily SY'!AA23/MAX('Daily SY'!AA$3:AA$14)-1,"")=-100%,"",IFERROR('Daily SY'!AA23/MAX('Daily SY'!AA$3:AA$14)-1,""))</f>
        <v/>
      </c>
      <c r="AA23" s="6" t="str">
        <f>IF(IFERROR('Daily SY'!AB23/MAX('Daily SY'!AB$3:AB$14)-1,"")=-100%,"",IFERROR('Daily SY'!AB23/MAX('Daily SY'!AB$3:AB$14)-1,""))</f>
        <v/>
      </c>
      <c r="AB23" s="6" t="str">
        <f>IF(IFERROR('Daily SY'!AC23/MAX('Daily SY'!AC$3:AC$14)-1,"")=-100%,"",IFERROR('Daily SY'!AC23/MAX('Daily SY'!AC$3:AC$14)-1,""))</f>
        <v/>
      </c>
      <c r="AC23" s="6" t="str">
        <f>IF(IFERROR('Daily SY'!AD23/MAX('Daily SY'!AD$3:AD$14)-1,"")=-100%,"",IFERROR('Daily SY'!AD23/MAX('Daily SY'!AD$3:AD$14)-1,""))</f>
        <v/>
      </c>
      <c r="AD23" s="6" t="str">
        <f>IF(IFERROR('Daily SY'!AE23/MAX('Daily SY'!AE$3:AE$14)-1,"")=-100%,"",IFERROR('Daily SY'!AE23/MAX('Daily SY'!AE$3:AE$14)-1,""))</f>
        <v/>
      </c>
      <c r="AE23" s="10" t="str">
        <f>IF(IFERROR('Daily SY'!AF23/MAX('Daily SY'!AF$3:AF$14)-1,"")=-100%,"",IFERROR('Daily SY'!AF23/MAX('Daily SY'!AF$3:AF$14)-1,""))</f>
        <v/>
      </c>
      <c r="AF23" s="10" t="str">
        <f>IF(IFERROR('Daily SY'!AG23/MAX('Daily SY'!AG$3:AG$14)-1,"")=-100%,"",IFERROR('Daily SY'!AG23/MAX('Daily SY'!AG$3:AG$14)-1,""))</f>
        <v/>
      </c>
    </row>
    <row r="24" spans="1:32" ht="15.75">
      <c r="A24" s="7" t="s">
        <v>58</v>
      </c>
      <c r="B24" s="6">
        <f>IF(IFERROR('Daily SY'!C24/MAX('Daily SY'!C$3:C$14)-1,"")=-100%,"",IFERROR('Daily SY'!C24/MAX('Daily SY'!C$3:C$14)-1,""))</f>
        <v>-7.3033707865168496E-2</v>
      </c>
      <c r="C24" s="6" t="str">
        <f>IF(IFERROR('Daily SY'!D24/MAX('Daily SY'!D$3:D$14)-1,"")=-100%,"",IFERROR('Daily SY'!D24/MAX('Daily SY'!D$3:D$14)-1,""))</f>
        <v/>
      </c>
      <c r="D24" s="6" t="str">
        <f>IF(IFERROR('Daily SY'!E24/MAX('Daily SY'!E$3:E$14)-1,"")=-100%,"",IFERROR('Daily SY'!E24/MAX('Daily SY'!E$3:E$14)-1,""))</f>
        <v/>
      </c>
      <c r="E24" s="6" t="str">
        <f>IF(IFERROR('Daily SY'!F24/MAX('Daily SY'!F$3:F$14)-1,"")=-100%,"",IFERROR('Daily SY'!F24/MAX('Daily SY'!F$3:F$14)-1,""))</f>
        <v/>
      </c>
      <c r="F24" s="6" t="str">
        <f>IF(IFERROR('Daily SY'!G24/MAX('Daily SY'!G$3:G$14)-1,"")=-100%,"",IFERROR('Daily SY'!G24/MAX('Daily SY'!G$3:G$14)-1,""))</f>
        <v/>
      </c>
      <c r="G24" s="6" t="str">
        <f>IF(IFERROR('Daily SY'!H24/MAX('Daily SY'!H$3:H$14)-1,"")=-100%,"",IFERROR('Daily SY'!H24/MAX('Daily SY'!H$3:H$14)-1,""))</f>
        <v/>
      </c>
      <c r="H24" s="6" t="str">
        <f>IF(IFERROR('Daily SY'!I24/MAX('Daily SY'!I$3:I$14)-1,"")=-100%,"",IFERROR('Daily SY'!I24/MAX('Daily SY'!I$3:I$14)-1,""))</f>
        <v/>
      </c>
      <c r="I24" s="6" t="str">
        <f>IF(IFERROR('Daily SY'!J24/MAX('Daily SY'!J$3:J$14)-1,"")=-100%,"",IFERROR('Daily SY'!J24/MAX('Daily SY'!J$3:J$14)-1,""))</f>
        <v/>
      </c>
      <c r="J24" s="6" t="str">
        <f>IF(IFERROR('Daily SY'!K24/MAX('Daily SY'!K$3:K$14)-1,"")=-100%,"",IFERROR('Daily SY'!K24/MAX('Daily SY'!K$3:K$14)-1,""))</f>
        <v/>
      </c>
      <c r="K24" s="6" t="str">
        <f>IF(IFERROR('Daily SY'!L24/MAX('Daily SY'!L$3:L$14)-1,"")=-100%,"",IFERROR('Daily SY'!L24/MAX('Daily SY'!L$3:L$14)-1,""))</f>
        <v/>
      </c>
      <c r="L24" s="6" t="str">
        <f>IF(IFERROR('Daily SY'!M24/MAX('Daily SY'!M$3:M$14)-1,"")=-100%,"",IFERROR('Daily SY'!M24/MAX('Daily SY'!M$3:M$14)-1,""))</f>
        <v/>
      </c>
      <c r="M24" s="6" t="str">
        <f>IF(IFERROR('Daily SY'!N24/MAX('Daily SY'!N$3:N$14)-1,"")=-100%,"",IFERROR('Daily SY'!N24/MAX('Daily SY'!N$3:N$14)-1,""))</f>
        <v/>
      </c>
      <c r="N24" s="6" t="str">
        <f>IF(IFERROR('Daily SY'!O24/MAX('Daily SY'!O$3:O$14)-1,"")=-100%,"",IFERROR('Daily SY'!O24/MAX('Daily SY'!O$3:O$14)-1,""))</f>
        <v/>
      </c>
      <c r="O24" s="6" t="str">
        <f>IF(IFERROR('Daily SY'!P24/MAX('Daily SY'!P$3:P$14)-1,"")=-100%,"",IFERROR('Daily SY'!P24/MAX('Daily SY'!P$3:P$14)-1,""))</f>
        <v/>
      </c>
      <c r="P24" s="6" t="str">
        <f>IF(IFERROR('Daily SY'!Q24/MAX('Daily SY'!Q$3:Q$14)-1,"")=-100%,"",IFERROR('Daily SY'!Q24/MAX('Daily SY'!Q$3:Q$14)-1,""))</f>
        <v/>
      </c>
      <c r="Q24" s="6" t="str">
        <f>IF(IFERROR('Daily SY'!R24/MAX('Daily SY'!R$3:R$14)-1,"")=-100%,"",IFERROR('Daily SY'!R24/MAX('Daily SY'!R$3:R$14)-1,""))</f>
        <v/>
      </c>
      <c r="R24" s="6" t="str">
        <f>IF(IFERROR('Daily SY'!S24/MAX('Daily SY'!S$3:S$14)-1,"")=-100%,"",IFERROR('Daily SY'!S24/MAX('Daily SY'!S$3:S$14)-1,""))</f>
        <v/>
      </c>
      <c r="S24" s="6" t="str">
        <f>IF(IFERROR('Daily SY'!T24/MAX('Daily SY'!T$3:T$14)-1,"")=-100%,"",IFERROR('Daily SY'!T24/MAX('Daily SY'!T$3:T$14)-1,""))</f>
        <v/>
      </c>
      <c r="T24" s="6" t="str">
        <f>IF(IFERROR('Daily SY'!U24/MAX('Daily SY'!U$3:U$14)-1,"")=-100%,"",IFERROR('Daily SY'!U24/MAX('Daily SY'!U$3:U$14)-1,""))</f>
        <v/>
      </c>
      <c r="U24" s="6" t="str">
        <f>IF(IFERROR('Daily SY'!V24/MAX('Daily SY'!V$3:V$14)-1,"")=-100%,"",IFERROR('Daily SY'!V24/MAX('Daily SY'!V$3:V$14)-1,""))</f>
        <v/>
      </c>
      <c r="V24" s="6" t="str">
        <f>IF(IFERROR('Daily SY'!W24/MAX('Daily SY'!W$3:W$14)-1,"")=-100%,"",IFERROR('Daily SY'!W24/MAX('Daily SY'!W$3:W$14)-1,""))</f>
        <v/>
      </c>
      <c r="W24" s="6" t="str">
        <f>IF(IFERROR('Daily SY'!X24/MAX('Daily SY'!X$3:X$14)-1,"")=-100%,"",IFERROR('Daily SY'!X24/MAX('Daily SY'!X$3:X$14)-1,""))</f>
        <v/>
      </c>
      <c r="X24" s="6" t="str">
        <f>IF(IFERROR('Daily SY'!Y24/MAX('Daily SY'!Y$3:Y$14)-1,"")=-100%,"",IFERROR('Daily SY'!Y24/MAX('Daily SY'!Y$3:Y$14)-1,""))</f>
        <v/>
      </c>
      <c r="Y24" s="6" t="str">
        <f>IF(IFERROR('Daily SY'!Z24/MAX('Daily SY'!Z$3:Z$14)-1,"")=-100%,"",IFERROR('Daily SY'!Z24/MAX('Daily SY'!Z$3:Z$14)-1,""))</f>
        <v/>
      </c>
      <c r="Z24" s="6" t="str">
        <f>IF(IFERROR('Daily SY'!AA24/MAX('Daily SY'!AA$3:AA$14)-1,"")=-100%,"",IFERROR('Daily SY'!AA24/MAX('Daily SY'!AA$3:AA$14)-1,""))</f>
        <v/>
      </c>
      <c r="AA24" s="6" t="str">
        <f>IF(IFERROR('Daily SY'!AB24/MAX('Daily SY'!AB$3:AB$14)-1,"")=-100%,"",IFERROR('Daily SY'!AB24/MAX('Daily SY'!AB$3:AB$14)-1,""))</f>
        <v/>
      </c>
      <c r="AB24" s="6" t="str">
        <f>IF(IFERROR('Daily SY'!AC24/MAX('Daily SY'!AC$3:AC$14)-1,"")=-100%,"",IFERROR('Daily SY'!AC24/MAX('Daily SY'!AC$3:AC$14)-1,""))</f>
        <v/>
      </c>
      <c r="AC24" s="6" t="str">
        <f>IF(IFERROR('Daily SY'!AD24/MAX('Daily SY'!AD$3:AD$14)-1,"")=-100%,"",IFERROR('Daily SY'!AD24/MAX('Daily SY'!AD$3:AD$14)-1,""))</f>
        <v/>
      </c>
      <c r="AD24" s="6" t="str">
        <f>IF(IFERROR('Daily SY'!AE24/MAX('Daily SY'!AE$3:AE$14)-1,"")=-100%,"",IFERROR('Daily SY'!AE24/MAX('Daily SY'!AE$3:AE$14)-1,""))</f>
        <v/>
      </c>
      <c r="AE24" s="10" t="str">
        <f>IF(IFERROR('Daily SY'!AF24/MAX('Daily SY'!AF$3:AF$14)-1,"")=-100%,"",IFERROR('Daily SY'!AF24/MAX('Daily SY'!AF$3:AF$14)-1,""))</f>
        <v/>
      </c>
      <c r="AF24" s="10" t="str">
        <f>IF(IFERROR('Daily SY'!AG24/MAX('Daily SY'!AG$3:AG$14)-1,"")=-100%,"",IFERROR('Daily SY'!AG24/MAX('Daily SY'!AG$3:AG$14)-1,""))</f>
        <v/>
      </c>
    </row>
  </sheetData>
  <mergeCells count="3">
    <mergeCell ref="B1:N1"/>
    <mergeCell ref="O1:R1"/>
    <mergeCell ref="S1:AE1"/>
  </mergeCells>
  <conditionalFormatting sqref="B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M18 B19:AF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AF24 C20:AF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AF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0555555555496" footer="0.51180555555555496"/>
  <pageSetup paperSize="9" firstPageNumber="0" orientation="portrait" useFirstPageNumber="1" horizontalDpi="300" verticalDpi="300"/>
  <drawing r:id="rId1"/>
</worksheet>
</file>

<file path=docMetadata/LabelInfo.xml><?xml version="1.0" encoding="utf-8"?>
<clbl:labelList xmlns:clbl="http://schemas.microsoft.com/office/2020/mipLabelMetadata">
  <clbl:label id="{bac4e201-4c2d-490c-b188-5575fa2c697c}" enabled="1" method="Standard" siteId="{8c4858b5-f020-483a-b7ef-71ded6e8176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AUG - 2026 month generation</vt:lpstr>
      <vt:lpstr>PR Graph</vt:lpstr>
      <vt:lpstr>Daily Energy</vt:lpstr>
      <vt:lpstr>Daily SY</vt:lpstr>
      <vt:lpstr>Dev. w.r.t plots tracker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23074272</dc:creator>
  <cp:keywords/>
  <dc:description/>
  <cp:lastModifiedBy>HP</cp:lastModifiedBy>
  <cp:revision>30</cp:revision>
  <dcterms:created xsi:type="dcterms:W3CDTF">2012-02-27T12:00:00Z</dcterms:created>
  <dcterms:modified xsi:type="dcterms:W3CDTF">2026-08-19T17:38:48Z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EDBBFD903EED46E696C28C357A23D490</vt:lpwstr>
  </property>
  <property fmtid="{D5CDD505-2E9C-101B-9397-08002B2CF9AE}" pid="9" name="KSOProductBuildVer">
    <vt:lpwstr>1033-11.2.0.11225</vt:lpwstr>
  </property>
</Properties>
</file>